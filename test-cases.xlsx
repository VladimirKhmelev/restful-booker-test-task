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Тест-кейсы" sheetId="2" state="visible" r:id="rId4"/>
  </sheets>
  <definedNames>
    <definedName function="false" hidden="false" localSheetId="1" name="_xlnm.Print_Titles" vbProcedure="false">'Тест-кейсы'!$1:$1</definedName>
    <definedName function="false" hidden="true" localSheetId="1" name="_xlnm._FilterDatabase" vbProcedure="false">'Тест-кейсы'!$A$1:$K$86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<sst xmlns="http://schemas.openxmlformats.org/spreadsheetml/2006/main" count="974" uniqueCount="410">
  <si>
    <t xml:space="preserve">Тест-кейсы: Restful Booker API</t>
  </si>
  <si>
    <t xml:space="preserve">Тестируемый сервис</t>
  </si>
  <si>
    <t xml:space="preserve">https://restful-booker.herokuapp.com</t>
  </si>
  <si>
    <t xml:space="preserve">Документация API</t>
  </si>
  <si>
    <t xml:space="preserve">https://restful-booker.herokuapp.com/apidoc/index.html</t>
  </si>
  <si>
    <t xml:space="preserve">Инструменты</t>
  </si>
  <si>
    <t xml:space="preserve">Postman</t>
  </si>
  <si>
    <t xml:space="preserve">Баг-репорт</t>
  </si>
  <si>
    <t xml:space="preserve">bug-report.xlsx (ID в колонке «Баг»)</t>
  </si>
  <si>
    <t xml:space="preserve">Эндпоинт</t>
  </si>
  <si>
    <t xml:space="preserve">Всего</t>
  </si>
  <si>
    <t xml:space="preserve">Позитивных</t>
  </si>
  <si>
    <t xml:space="preserve">Негативных</t>
  </si>
  <si>
    <t xml:space="preserve">Passed</t>
  </si>
  <si>
    <t xml:space="preserve">Failed</t>
  </si>
  <si>
    <t xml:space="preserve">/ping (GET)</t>
  </si>
  <si>
    <t xml:space="preserve">/auth (POST)</t>
  </si>
  <si>
    <t xml:space="preserve">/booking (POST)</t>
  </si>
  <si>
    <t xml:space="preserve">/booking с параметрами (GET)</t>
  </si>
  <si>
    <t xml:space="preserve">/booking/:id (GET)</t>
  </si>
  <si>
    <t xml:space="preserve">/booking/:id (PUT)</t>
  </si>
  <si>
    <t xml:space="preserve">/booking/:id (PATCH)</t>
  </si>
  <si>
    <t xml:space="preserve">/booking/:id (DELETE)</t>
  </si>
  <si>
    <t xml:space="preserve">Итого</t>
  </si>
  <si>
    <t xml:space="preserve">Как читать</t>
  </si>
  <si>
    <t xml:space="preserve">Ожидаемый результат — корректное поведение по документации API и семантике HTTP.</t>
  </si>
  <si>
    <t xml:space="preserve">Failed — фактическое поведение расходится с ожидаемым; номер бага — в колонке «Баг».</t>
  </si>
  <si>
    <t xml:space="preserve">Позитивные кейсы с валидными данными тоже могут быть Failed, если сервис отвечает некорректно.</t>
  </si>
  <si>
    <t xml:space="preserve">ID</t>
  </si>
  <si>
    <t xml:space="preserve">Тип</t>
  </si>
  <si>
    <t xml:space="preserve">Название</t>
  </si>
  <si>
    <t xml:space="preserve">Предусловия</t>
  </si>
  <si>
    <t xml:space="preserve">Шаги</t>
  </si>
  <si>
    <t xml:space="preserve">Тестовые данные</t>
  </si>
  <si>
    <t xml:space="preserve">Ожидаемый результат</t>
  </si>
  <si>
    <t xml:space="preserve">Фактический результат</t>
  </si>
  <si>
    <t xml:space="preserve">Статус</t>
  </si>
  <si>
    <t xml:space="preserve">Баг</t>
  </si>
  <si>
    <t xml:space="preserve">TC-PING-01</t>
  </si>
  <si>
    <t xml:space="preserve">GET /ping</t>
  </si>
  <si>
    <t xml:space="preserve">Позитивный</t>
  </si>
  <si>
    <t xml:space="preserve">Проверка доступности сервиса (health check)</t>
  </si>
  <si>
    <t xml:space="preserve">—</t>
  </si>
  <si>
    <t xml:space="preserve">1. Отправить GET /ping</t>
  </si>
  <si>
    <t xml:space="preserve">Код ответа 200 OK. Время ответа &lt; 2 с</t>
  </si>
  <si>
    <t xml:space="preserve">Код ответа 201 Created, тело «Created». Время ответа ≈ 0,7 с</t>
  </si>
  <si>
    <t xml:space="preserve">BUG-19</t>
  </si>
  <si>
    <t xml:space="preserve">TC-PING-02</t>
  </si>
  <si>
    <t xml:space="preserve">POST /ping</t>
  </si>
  <si>
    <t xml:space="preserve">Негативный</t>
  </si>
  <si>
    <t xml:space="preserve">Запрос к /ping неподдерживаемым методом POST</t>
  </si>
  <si>
    <t xml:space="preserve">1. Отправить POST /ping</t>
  </si>
  <si>
    <t xml:space="preserve">Код ответа 404 Not Found или 405 Method Not Allowed</t>
  </si>
  <si>
    <t xml:space="preserve">404 Not Found</t>
  </si>
  <si>
    <t xml:space="preserve">TC-AUTH-01</t>
  </si>
  <si>
    <t xml:space="preserve">POST /auth</t>
  </si>
  <si>
    <t xml:space="preserve">Получение токена с валидными учётными данными</t>
  </si>
  <si>
    <t xml:space="preserve">1. Отправить POST /auth
Заголовки: Content-Type: application/json
Тело — из «Тестовых данных»</t>
  </si>
  <si>
    <t xml:space="preserve">{"username": "admin", "password": "password123"}</t>
  </si>
  <si>
    <t xml:space="preserve">200 OK; Content-Type: application/json; в теле поле token — непустая строка</t>
  </si>
  <si>
    <t xml:space="preserve">200 OK; {"token": "&lt;15 символов&gt;"}</t>
  </si>
  <si>
    <t xml:space="preserve">TC-AUTH-02</t>
  </si>
  <si>
    <t xml:space="preserve">Неверный пароль</t>
  </si>
  <si>
    <t xml:space="preserve">{"username": "admin", "password": "wrong"}</t>
  </si>
  <si>
    <t xml:space="preserve">401 Unauthorized; токен не выдаётся</t>
  </si>
  <si>
    <t xml:space="preserve">200 OK; {"reason": "Bad credentials"}</t>
  </si>
  <si>
    <t xml:space="preserve">BUG-12</t>
  </si>
  <si>
    <t xml:space="preserve">TC-AUTH-03</t>
  </si>
  <si>
    <t xml:space="preserve">Несуществующий пользователь</t>
  </si>
  <si>
    <t xml:space="preserve">{"username": "nouser", "password": "password123"}</t>
  </si>
  <si>
    <t xml:space="preserve">TC-AUTH-04</t>
  </si>
  <si>
    <t xml:space="preserve">Пустое тело запроса</t>
  </si>
  <si>
    <t xml:space="preserve">{}</t>
  </si>
  <si>
    <t xml:space="preserve">400 Bad Request; токен не выдаётся</t>
  </si>
  <si>
    <t xml:space="preserve">BUG-13</t>
  </si>
  <si>
    <t xml:space="preserve">TC-AUTH-05</t>
  </si>
  <si>
    <t xml:space="preserve">Отсутствует поле password</t>
  </si>
  <si>
    <t xml:space="preserve">{"username": "admin"}</t>
  </si>
  <si>
    <t xml:space="preserve">TC-AUTH-06</t>
  </si>
  <si>
    <t xml:space="preserve">Пустые строки в username и password</t>
  </si>
  <si>
    <t xml:space="preserve">{"username": "", "password": ""}</t>
  </si>
  <si>
    <t xml:space="preserve">TC-AUTH-07</t>
  </si>
  <si>
    <t xml:space="preserve">Невалидный JSON в теле запроса</t>
  </si>
  <si>
    <t xml:space="preserve">{"username": "admin",</t>
  </si>
  <si>
    <t xml:space="preserve">400 Bad Request</t>
  </si>
  <si>
    <t xml:space="preserve">TC-CREATE-01</t>
  </si>
  <si>
    <t xml:space="preserve">POST /booking</t>
  </si>
  <si>
    <t xml:space="preserve">Создание брони со всеми полями</t>
  </si>
  <si>
    <t xml:space="preserve">1. Отправить POST /booking
Заголовки: Content-Type: application/json, Accept: application/json
Тело — из «Тестовых данных»
2. Отправить GET /booking/{bookingid} из ответа</t>
  </si>
  <si>
    <t xml:space="preserve">{"firstname": "Ivan", "lastname": "Petrov", "totalprice": 150, "depositpaid": true, "bookingdates": {"checkin": "2031-03-10", "checkout": "2031-03-15"}, "additionalneeds": "Breakfast"}</t>
  </si>
  <si>
    <t xml:space="preserve">200 OK; Content-Type: application/json; в ответе bookingid (число) и booking, совпадающий с отправленными данными; GET /booking/{bookingid} возвращает те же данные</t>
  </si>
  <si>
    <t xml:space="preserve">200 OK; данные в ответе и в GET совпадают с отправленными</t>
  </si>
  <si>
    <t xml:space="preserve">TC-CREATE-02</t>
  </si>
  <si>
    <t xml:space="preserve">Создание брони без необязательного поля additionalneeds</t>
  </si>
  <si>
    <t xml:space="preserve">{"firstname": "Ivan", "lastname": "Petrov", "totalprice": 150, "depositpaid": true, "bookingdates": {"checkin": "2031-03-10", "checkout": "2031-03-15"}}</t>
  </si>
  <si>
    <t xml:space="preserve">200 OK; бронь создана без additionalneeds, остальные поля совпадают с отправленными</t>
  </si>
  <si>
    <t xml:space="preserve">200 OK; как ожидалось</t>
  </si>
  <si>
    <t xml:space="preserve">TC-CREATE-03</t>
  </si>
  <si>
    <t xml:space="preserve">Кириллица в текстовых полях</t>
  </si>
  <si>
    <t xml:space="preserve">{"firstname": "Иван", "lastname": "Петров", "totalprice": 150, "depositpaid": true, "bookingdates": {"checkin": "2031-03-10", "checkout": "2031-03-15"}, "additionalneeds": "Завтрак"}</t>
  </si>
  <si>
    <t xml:space="preserve">200 OK; текстовые поля сохранены без искажений</t>
  </si>
  <si>
    <t xml:space="preserve">TC-CREATE-04</t>
  </si>
  <si>
    <t xml:space="preserve">Граничные значения: totalprice = 0, depositpaid = false</t>
  </si>
  <si>
    <t xml:space="preserve">{"firstname": "Ivan", "lastname": "Petrov", "totalprice": 0, "depositpaid": false, "bookingdates": {"checkin": "2031-03-10", "checkout": "2031-03-15"}, "additionalneeds": "Breakfast"}</t>
  </si>
  <si>
    <t xml:space="preserve">200 OK; totalprice = 0, depositpaid = false</t>
  </si>
  <si>
    <t xml:space="preserve">TC-CREATE-05</t>
  </si>
  <si>
    <t xml:space="preserve">Дробная стоимость totalprice = 150.75</t>
  </si>
  <si>
    <t xml:space="preserve">{"firstname": "Ivan", "lastname": "Petrov", "totalprice": 150.75, "depositpaid": true, "bookingdates": {"checkin": "2031-03-10", "checkout": "2031-03-15"}, "additionalneeds": "Breakfast"}</t>
  </si>
  <si>
    <t xml:space="preserve">200 OK; totalprice = 150.75 (в документации тип Number)</t>
  </si>
  <si>
    <t xml:space="preserve">200 OK; totalprice = 150 — дробная часть отброшена</t>
  </si>
  <si>
    <t xml:space="preserve">BUG-08</t>
  </si>
  <si>
    <t xml:space="preserve">TC-CREATE-06</t>
  </si>
  <si>
    <t xml:space="preserve">Создание брони в формате XML</t>
  </si>
  <si>
    <t xml:space="preserve">1. Отправить POST /booking
Заголовки: Content-Type: text/xml, Accept: application/xml
Тело — из «Тестовых данных»</t>
  </si>
  <si>
    <t xml:space="preserve">&lt;booking&gt;&lt;firstname&gt;Ivan&lt;/firstname&gt;&lt;lastname&gt;Petrov&lt;/lastname&gt;&lt;totalprice&gt;150&lt;/totalprice&gt;&lt;depositpaid&gt;true&lt;/depositpaid&gt;&lt;bookingdates&gt;&lt;checkin&gt;2031-03-10&lt;/checkin&gt;&lt;checkout&gt;2031-03-15&lt;/checkout&gt;&lt;/bookingdates&gt;&lt;additionalneeds&gt;Breakfast&lt;/additionalneeds&gt;&lt;/booking&gt;</t>
  </si>
  <si>
    <t xml:space="preserve">200 OK; Content-Type: application/xml; тело — XML &lt;created-booking&gt; с bookingid и данными брони</t>
  </si>
  <si>
    <t xml:space="preserve">200 OK; XML-тело корректное, но Content-Type: text/html</t>
  </si>
  <si>
    <t xml:space="preserve">BUG-20</t>
  </si>
  <si>
    <t xml:space="preserve">TC-CREATE-07</t>
  </si>
  <si>
    <t xml:space="preserve">Ответ в формате x-www-form-urlencoded</t>
  </si>
  <si>
    <t xml:space="preserve">1. Отправить POST /booking
Заголовки: Content-Type: application/x-www-form-urlencoded, Accept: application/x-www-form-urlencoded
Тело — из «Тестовых данных»</t>
  </si>
  <si>
    <t xml:space="preserve">firstname=Ivan&amp;lastname=Petrov&amp;totalprice=150&amp;depositpaid=true&amp;bookingdates[checkin]=2031-03-10&amp;bookingdates[checkout]=2031-03-15</t>
  </si>
  <si>
    <t xml:space="preserve">200 OK; Content-Type: application/x-www-form-urlencoded; тело — bookingid и данные брони в формате urlencoded (как в примере документации)</t>
  </si>
  <si>
    <t xml:space="preserve">200 OK; Content-Type: text/html; тело «formurlencoded is not a function»</t>
  </si>
  <si>
    <t xml:space="preserve">BUG-21</t>
  </si>
  <si>
    <t xml:space="preserve">TC-CREATE-08</t>
  </si>
  <si>
    <t xml:space="preserve">1. Отправить POST /booking
Заголовки: Content-Type: application/json, Accept: application/json
Тело — из «Тестовых данных»</t>
  </si>
  <si>
    <t xml:space="preserve">400 Bad Request; бронь не создаётся</t>
  </si>
  <si>
    <t xml:space="preserve">500 Internal Server Error</t>
  </si>
  <si>
    <t xml:space="preserve">BUG-03</t>
  </si>
  <si>
    <t xml:space="preserve">TC-CREATE-09</t>
  </si>
  <si>
    <t xml:space="preserve">Отсутствует обязательное поле firstname</t>
  </si>
  <si>
    <t xml:space="preserve">{"lastname": "Petrov", "totalprice": 150, "depositpaid": true, "bookingdates": {"checkin": "2031-03-10", "checkout": "2031-03-15"}, "additionalneeds": "Breakfast"}</t>
  </si>
  <si>
    <t xml:space="preserve">TC-CREATE-10</t>
  </si>
  <si>
    <t xml:space="preserve">Отсутствует обязательный объект bookingdates</t>
  </si>
  <si>
    <t xml:space="preserve">{"firstname": "Ivan", "lastname": "Petrov", "totalprice": 150, "depositpaid": true, "additionalneeds": "Breakfast"}</t>
  </si>
  <si>
    <t xml:space="preserve">TC-CREATE-11</t>
  </si>
  <si>
    <t xml:space="preserve">firstname — число вместо строки</t>
  </si>
  <si>
    <t xml:space="preserve">{"firstname": 123, "lastname": "Petrov", "totalprice": 150, "depositpaid": true, "bookingdates": {"checkin": "2031-03-10", "checkout": "2031-03-15"}, "additionalneeds": "Breakfast"}</t>
  </si>
  <si>
    <t xml:space="preserve">TC-CREATE-12</t>
  </si>
  <si>
    <t xml:space="preserve">totalprice — нечисловая строка</t>
  </si>
  <si>
    <t xml:space="preserve">{"firstname": "Ivan", "lastname": "Petrov", "totalprice": "abc", "depositpaid": true, "bookingdates": {"checkin": "2031-03-10", "checkout": "2031-03-15"}, "additionalneeds": "Breakfast"}</t>
  </si>
  <si>
    <t xml:space="preserve">200 OK; бронь создана с totalprice = null</t>
  </si>
  <si>
    <t xml:space="preserve">BUG-07</t>
  </si>
  <si>
    <t xml:space="preserve">TC-CREATE-13</t>
  </si>
  <si>
    <t xml:space="preserve">Отрицательная стоимость totalprice</t>
  </si>
  <si>
    <t xml:space="preserve">{"firstname": "Ivan", "lastname": "Petrov", "totalprice": -100, "depositpaid": true, "bookingdates": {"checkin": "2031-03-10", "checkout": "2031-03-15"}, "additionalneeds": "Breakfast"}</t>
  </si>
  <si>
    <t xml:space="preserve">200 OK; бронь создана с totalprice = -100</t>
  </si>
  <si>
    <t xml:space="preserve">BUG-09</t>
  </si>
  <si>
    <t xml:space="preserve">TC-CREATE-14</t>
  </si>
  <si>
    <t xml:space="preserve">depositpaid — строка вместо boolean</t>
  </si>
  <si>
    <t xml:space="preserve">{"firstname": "Ivan", "lastname": "Petrov", "totalprice": 150, "depositpaid": "yes", "bookingdates": {"checkin": "2031-03-10", "checkout": "2031-03-15"}, "additionalneeds": "Breakfast"}</t>
  </si>
  <si>
    <t xml:space="preserve">200 OK; строка приведена к depositpaid = true</t>
  </si>
  <si>
    <t xml:space="preserve">BUG-10</t>
  </si>
  <si>
    <t xml:space="preserve">TC-CREATE-15</t>
  </si>
  <si>
    <t xml:space="preserve">Пустые firstname и lastname</t>
  </si>
  <si>
    <t xml:space="preserve">{"firstname": "", "lastname": "", "totalprice": 150, "depositpaid": true, "bookingdates": {"checkin": "2031-03-10", "checkout": "2031-03-15"}, "additionalneeds": "Breakfast"}</t>
  </si>
  <si>
    <t xml:space="preserve">200 OK; бронь создана с пустыми именем и фамилией</t>
  </si>
  <si>
    <t xml:space="preserve">BUG-11</t>
  </si>
  <si>
    <t xml:space="preserve">TC-CREATE-16</t>
  </si>
  <si>
    <t xml:space="preserve">Дата выезда раньше даты заезда</t>
  </si>
  <si>
    <t xml:space="preserve">{"firstname": "Ivan", "lastname": "Petrov", "totalprice": 150, "depositpaid": true, "bookingdates": {"checkin": "2031-03-15", "checkout": "2031-03-10"}, "additionalneeds": "Breakfast"}</t>
  </si>
  <si>
    <t xml:space="preserve">200 OK; бронь создана с checkout &lt; checkin</t>
  </si>
  <si>
    <t xml:space="preserve">BUG-06</t>
  </si>
  <si>
    <t xml:space="preserve">TC-CREATE-17</t>
  </si>
  <si>
    <t xml:space="preserve">Невалидная дата заезда</t>
  </si>
  <si>
    <t xml:space="preserve">{"firstname": "Ivan", "lastname": "Petrov", "totalprice": 150, "depositpaid": true, "bookingdates": {"checkin": "not-a-date", "checkout": "2031-03-15"}, "additionalneeds": "Breakfast"}</t>
  </si>
  <si>
    <t xml:space="preserve">200 OK; бронь создана с checkin = "0NaN-aN-aN"</t>
  </si>
  <si>
    <t xml:space="preserve">BUG-04</t>
  </si>
  <si>
    <t xml:space="preserve">TC-CREATE-18</t>
  </si>
  <si>
    <t xml:space="preserve">Несуществующая дата заезда (30 февраля)</t>
  </si>
  <si>
    <t xml:space="preserve">{"firstname": "Ivan", "lastname": "Petrov", "totalprice": 150, "depositpaid": true, "bookingdates": {"checkin": "2031-02-30", "checkout": "2031-03-15"}, "additionalneeds": "Breakfast"}</t>
  </si>
  <si>
    <t xml:space="preserve">200 OK; дата молча заменена на checkin = "2031-03-02"</t>
  </si>
  <si>
    <t xml:space="preserve">BUG-05</t>
  </si>
  <si>
    <t xml:space="preserve">TC-CREATE-19</t>
  </si>
  <si>
    <t xml:space="preserve">{"firstname": "Ivan",</t>
  </si>
  <si>
    <t xml:space="preserve">TC-CREATE-20</t>
  </si>
  <si>
    <t xml:space="preserve">Неподдерживаемый Content-Type: text/plain</t>
  </si>
  <si>
    <t xml:space="preserve">1. Отправить POST /booking
Заголовки: Content-Type: text/plain
Тело — валидный JSON из «Тестовых данных»</t>
  </si>
  <si>
    <t xml:space="preserve">415 Unsupported Media Type; бронь не создаётся</t>
  </si>
  <si>
    <t xml:space="preserve">BUG-23</t>
  </si>
  <si>
    <t xml:space="preserve">TC-CREATE-21</t>
  </si>
  <si>
    <t xml:space="preserve">Неподдерживаемый формат ответа Accept: text/html</t>
  </si>
  <si>
    <t xml:space="preserve">1. Отправить POST /booking
Заголовки: Content-Type: application/json, Accept: text/html
Тело — из «Тестовых данных»</t>
  </si>
  <si>
    <t xml:space="preserve">406 Not Acceptable</t>
  </si>
  <si>
    <t xml:space="preserve">418 I'm a Teapot</t>
  </si>
  <si>
    <t xml:space="preserve">BUG-22</t>
  </si>
  <si>
    <t xml:space="preserve">TC-SEARCH-01</t>
  </si>
  <si>
    <t xml:space="preserve">GET /booking</t>
  </si>
  <si>
    <t xml:space="preserve">Получение списка всех броней без фильтров</t>
  </si>
  <si>
    <t xml:space="preserve">Создана бронь с уникальными firstname / lastname (например, Qa&lt;случайное число&gt; / Tester&lt;случайное число&gt;), checkin = 2031-03-10, checkout = 2031-03-15; её id сохранён</t>
  </si>
  <si>
    <t xml:space="preserve">1. Отправить GET /booking без параметров</t>
  </si>
  <si>
    <t xml:space="preserve">200 OK; Content-Type: application/json; массив объектов вида {"bookingid": &lt;число&gt;}; созданная бронь в списке</t>
  </si>
  <si>
    <t xml:space="preserve">TC-SEARCH-02</t>
  </si>
  <si>
    <t xml:space="preserve">Поиск по firstname</t>
  </si>
  <si>
    <t xml:space="preserve">1. Отправить GET /booking с параметрами запроса из «Тестовых данных»</t>
  </si>
  <si>
    <t xml:space="preserve">firstname=&lt;имя брони&gt;</t>
  </si>
  <si>
    <t xml:space="preserve">200 OK; id созданной брони есть в результатах</t>
  </si>
  <si>
    <t xml:space="preserve">200 OK; бронь найдена</t>
  </si>
  <si>
    <t xml:space="preserve">TC-SEARCH-03</t>
  </si>
  <si>
    <t xml:space="preserve">Поиск по lastname</t>
  </si>
  <si>
    <t xml:space="preserve">lastname=&lt;фамилия брони&gt;</t>
  </si>
  <si>
    <t xml:space="preserve">TC-SEARCH-04</t>
  </si>
  <si>
    <t xml:space="preserve">Поиск по firstname и lastname</t>
  </si>
  <si>
    <t xml:space="preserve">firstname=&lt;имя брони&gt;&amp;lastname=&lt;фамилия брони&gt;</t>
  </si>
  <si>
    <t xml:space="preserve">TC-SEARCH-05</t>
  </si>
  <si>
    <t xml:space="preserve">Фильтр checkin, равный дате заезда брони</t>
  </si>
  <si>
    <t xml:space="preserve">firstname=&lt;имя брони&gt;&amp;checkin=2031-03-10</t>
  </si>
  <si>
    <t xml:space="preserve">200 OK; id созданной брони есть в результатах (по документации checkin ≥ заданной даты)</t>
  </si>
  <si>
    <t xml:space="preserve">200 OK; [] — бронь не найдена: фильтр работает как строгое «&gt;»</t>
  </si>
  <si>
    <t xml:space="preserve">BUG-14</t>
  </si>
  <si>
    <t xml:space="preserve">TC-SEARCH-06</t>
  </si>
  <si>
    <t xml:space="preserve">Фильтр checkin раньше даты заезда брони</t>
  </si>
  <si>
    <t xml:space="preserve">firstname=&lt;имя брони&gt;&amp;checkin=2031-03-09</t>
  </si>
  <si>
    <t xml:space="preserve">TC-SEARCH-07</t>
  </si>
  <si>
    <t xml:space="preserve">Фильтр checkin позже даты заезда брони</t>
  </si>
  <si>
    <t xml:space="preserve">firstname=&lt;имя брони&gt;&amp;checkin=2031-03-11</t>
  </si>
  <si>
    <t xml:space="preserve">200 OK; id созданной брони нет в результатах</t>
  </si>
  <si>
    <t xml:space="preserve">200 OK; [] — бронь не найдена</t>
  </si>
  <si>
    <t xml:space="preserve">TC-SEARCH-08</t>
  </si>
  <si>
    <t xml:space="preserve">Фильтр checkout, равный дате выезда брони</t>
  </si>
  <si>
    <t xml:space="preserve">firstname=&lt;имя брони&gt;&amp;checkout=2031-03-15</t>
  </si>
  <si>
    <t xml:space="preserve">TC-SEARCH-09</t>
  </si>
  <si>
    <t xml:space="preserve">Фильтр checkout раньше даты выезда брони</t>
  </si>
  <si>
    <t xml:space="preserve">firstname=&lt;имя брони&gt;&amp;checkout=2031-03-14</t>
  </si>
  <si>
    <t xml:space="preserve">200 OK; id созданной брони есть в результатах (по документации checkout ≥ заданной даты: 2031-03-15 ≥ 2031-03-14)</t>
  </si>
  <si>
    <t xml:space="preserve">BUG-15</t>
  </si>
  <si>
    <t xml:space="preserve">TC-SEARCH-10</t>
  </si>
  <si>
    <t xml:space="preserve">Фильтр checkout позже даты выезда брони</t>
  </si>
  <si>
    <t xml:space="preserve">firstname=&lt;имя брони&gt;&amp;checkout=2031-03-16</t>
  </si>
  <si>
    <t xml:space="preserve">200 OK; id созданной брони нет в результатах (2031-03-15 &lt; 2031-03-16)</t>
  </si>
  <si>
    <t xml:space="preserve">200 OK; бронь найдена — фильтр работает как «checkout ≤ заданной даты»</t>
  </si>
  <si>
    <t xml:space="preserve">TC-SEARCH-11</t>
  </si>
  <si>
    <t xml:space="preserve">Все параметры поиска одновременно</t>
  </si>
  <si>
    <t xml:space="preserve">firstname=&lt;имя брони&gt;&amp;lastname=&lt;фамилия брони&gt;&amp;checkin=2031-03-10&amp;checkout=2031-03-15</t>
  </si>
  <si>
    <t xml:space="preserve">TC-SEARCH-12</t>
  </si>
  <si>
    <t xml:space="preserve">Поиск по несуществующему имени</t>
  </si>
  <si>
    <t xml:space="preserve">firstname=NoSuchName&lt;случайное число&gt;</t>
  </si>
  <si>
    <t xml:space="preserve">200 OK; пустой массив []</t>
  </si>
  <si>
    <t xml:space="preserve">200 OK; []</t>
  </si>
  <si>
    <t xml:space="preserve">TC-SEARCH-13</t>
  </si>
  <si>
    <t xml:space="preserve">Верное firstname и неверное lastname</t>
  </si>
  <si>
    <t xml:space="preserve">firstname=&lt;имя брони&gt;&amp;lastname=WrongLastname</t>
  </si>
  <si>
    <t xml:space="preserve">TC-SEARCH-14</t>
  </si>
  <si>
    <t xml:space="preserve">Невалидный формат даты в checkin</t>
  </si>
  <si>
    <t xml:space="preserve">checkin=not-a-date</t>
  </si>
  <si>
    <t xml:space="preserve">BUG-16</t>
  </si>
  <si>
    <t xml:space="preserve">TC-SEARCH-15</t>
  </si>
  <si>
    <t xml:space="preserve">Несуществующая дата в checkout</t>
  </si>
  <si>
    <t xml:space="preserve">checkout=2031-13-45</t>
  </si>
  <si>
    <t xml:space="preserve">TC-GET-01</t>
  </si>
  <si>
    <t xml:space="preserve">GET /booking/:id</t>
  </si>
  <si>
    <t xml:space="preserve">Получение брони по id в формате JSON</t>
  </si>
  <si>
    <t xml:space="preserve">Создана бронь (POST /booking с валидными данными, additionalneeds = Breakfast), её id сохранён</t>
  </si>
  <si>
    <t xml:space="preserve">1. Отправить GET /booking/{id}
Заголовки: Accept: application/json</t>
  </si>
  <si>
    <t xml:space="preserve">id созданной брони</t>
  </si>
  <si>
    <t xml:space="preserve">200 OK; Content-Type: application/json; тело соответствует схеме (firstname, lastname, totalprice, depositpaid, bookingdates.checkin/checkout, additionalneeds) и данным созданной брони</t>
  </si>
  <si>
    <t xml:space="preserve">TC-GET-02</t>
  </si>
  <si>
    <t xml:space="preserve">Получение брони без заголовка Accept</t>
  </si>
  <si>
    <t xml:space="preserve">1. Отправить GET /booking/{id} без заголовка Accept</t>
  </si>
  <si>
    <t xml:space="preserve">200 OK; ответ в JSON (формат по умолчанию)</t>
  </si>
  <si>
    <t xml:space="preserve">TC-GET-03</t>
  </si>
  <si>
    <t xml:space="preserve">Получение брони в формате XML</t>
  </si>
  <si>
    <t xml:space="preserve">1. Отправить GET /booking/{id}
Заголовки: Accept: application/xml</t>
  </si>
  <si>
    <t xml:space="preserve">200 OK; Content-Type: application/xml; тело — XML &lt;booking&gt; с данными брони</t>
  </si>
  <si>
    <t xml:space="preserve">TC-GET-04</t>
  </si>
  <si>
    <t xml:space="preserve">Получение брони в формате x-www-form-urlencoded</t>
  </si>
  <si>
    <t xml:space="preserve">1. Отправить GET /booking/{id}
Заголовки: Accept: application/x-www-form-urlencoded</t>
  </si>
  <si>
    <t xml:space="preserve">200 OK; Content-Type: application/x-www-form-urlencoded; тело — данные брони в формате urlencoded</t>
  </si>
  <si>
    <t xml:space="preserve">TC-GET-05</t>
  </si>
  <si>
    <t xml:space="preserve">Несуществующий id</t>
  </si>
  <si>
    <t xml:space="preserve">1. Отправить GET /booking/99999999</t>
  </si>
  <si>
    <t xml:space="preserve">id = 99999999</t>
  </si>
  <si>
    <t xml:space="preserve">TC-GET-06</t>
  </si>
  <si>
    <t xml:space="preserve">Нечисловой id</t>
  </si>
  <si>
    <t xml:space="preserve">1. Отправить GET /booking/abc</t>
  </si>
  <si>
    <t xml:space="preserve">id = abc</t>
  </si>
  <si>
    <t xml:space="preserve">TC-GET-07</t>
  </si>
  <si>
    <t xml:space="preserve">Отрицательный id</t>
  </si>
  <si>
    <t xml:space="preserve">1. Отправить GET /booking/-1</t>
  </si>
  <si>
    <t xml:space="preserve">id = -1</t>
  </si>
  <si>
    <t xml:space="preserve">TC-GET-08</t>
  </si>
  <si>
    <t xml:space="preserve">1. Отправить GET /booking/{id}
Заголовки: Accept: text/html</t>
  </si>
  <si>
    <t xml:space="preserve">TC-PUT-01</t>
  </si>
  <si>
    <t xml:space="preserve">PUT /booking/:id</t>
  </si>
  <si>
    <t xml:space="preserve">Полное обновление брони с токеном в Cookie</t>
  </si>
  <si>
    <t xml:space="preserve">Создана бронь (POST /booking с валидными данными, additionalneeds = Breakfast), её id сохранён
Получен токен: POST /auth с admin / password123</t>
  </si>
  <si>
    <t xml:space="preserve">1. Отправить PUT /booking/{id}
Заголовки: Content-Type: application/json, Accept: application/json, Cookie: token={token}
Тело — из «Тестовых данных»
2. Отправить GET /booking/{id}</t>
  </si>
  <si>
    <t xml:space="preserve">{"firstname": "Petr", "lastname": "Sidorov", "totalprice": 300, "depositpaid": false, "bookingdates": {"checkin": "2031-04-01", "checkout": "2031-04-10"}, "additionalneeds": "Dinner"}</t>
  </si>
  <si>
    <t xml:space="preserve">200 OK; тело ответа совпадает с отправленными данными; GET возвращает обновлённые данные</t>
  </si>
  <si>
    <t xml:space="preserve">TC-PUT-02</t>
  </si>
  <si>
    <t xml:space="preserve">Полное обновление брони с Basic-авторизацией</t>
  </si>
  <si>
    <t xml:space="preserve">1. Отправить PUT /booking/{id}
Заголовки: Content-Type: application/json, Accept: application/json, Authorization: Basic YWRtaW46cGFzc3dvcmQxMjM= (admin:password123)
Тело — из «Тестовых данных»
2. Отправить GET /booking/{id}</t>
  </si>
  <si>
    <t xml:space="preserve">TC-PUT-03</t>
  </si>
  <si>
    <t xml:space="preserve">Обновление без необязательного поля additionalneeds</t>
  </si>
  <si>
    <t xml:space="preserve">{"firstname": "Petr", "lastname": "Sidorov", "totalprice": 300, "depositpaid": false, "bookingdates": {"checkin": "2031-04-01", "checkout": "2031-04-10"}}</t>
  </si>
  <si>
    <t xml:space="preserve">200 OK; additionalneeds отсутствует в ответе и в GET (PUT заменяет ресурс целиком)</t>
  </si>
  <si>
    <t xml:space="preserve">200 OK; additionalneeds = "Breakfast" осталось от прежней версии брони</t>
  </si>
  <si>
    <t xml:space="preserve">BUG-24</t>
  </si>
  <si>
    <t xml:space="preserve">TC-PUT-04</t>
  </si>
  <si>
    <t xml:space="preserve">Обновление без авторизации</t>
  </si>
  <si>
    <t xml:space="preserve">1. Отправить PUT /booking/{id}
Заголовки: Content-Type: application/json, Accept: application/json
Тело — из «Тестовых данных»
2. Отправить GET /booking/{id}</t>
  </si>
  <si>
    <t xml:space="preserve">403 Forbidden; бронь не изменилась (GET возвращает исходные данные)</t>
  </si>
  <si>
    <t xml:space="preserve">403 Forbidden; бронь не изменилась</t>
  </si>
  <si>
    <t xml:space="preserve">TC-PUT-05</t>
  </si>
  <si>
    <t xml:space="preserve">Невалидный токен</t>
  </si>
  <si>
    <t xml:space="preserve">1. Отправить PUT /booking/{id}
Заголовки: Content-Type: application/json, Accept: application/json, Cookie: token=invalidtoken123
Тело — из «Тестовых данных»
2. Отправить GET /booking/{id}</t>
  </si>
  <si>
    <t xml:space="preserve">TC-PUT-06</t>
  </si>
  <si>
    <t xml:space="preserve">Неверные данные Basic-авторизации</t>
  </si>
  <si>
    <t xml:space="preserve">1. Отправить PUT /booking/{id}
Заголовки: Content-Type: application/json, Accept: application/json, Authorization: Basic d3Jvbmc6d3Jvbmc= (wrong:wrong)
Тело — из «Тестовых данных»
2. Отправить GET /booking/{id}</t>
  </si>
  <si>
    <t xml:space="preserve">TC-PUT-07</t>
  </si>
  <si>
    <t xml:space="preserve">Отсутствуют обязательные поля</t>
  </si>
  <si>
    <t xml:space="preserve">{"firstname": "OnlyName"}</t>
  </si>
  <si>
    <t xml:space="preserve">400 Bad Request; бронь не изменилась (GET возвращает исходные данные)</t>
  </si>
  <si>
    <t xml:space="preserve">TC-PUT-08</t>
  </si>
  <si>
    <t xml:space="preserve">Обновление несуществующей брони</t>
  </si>
  <si>
    <t xml:space="preserve">Получен токен: POST /auth с admin / password123</t>
  </si>
  <si>
    <t xml:space="preserve">1. Отправить PUT /booking/99999999
Заголовки: Content-Type: application/json, Accept: application/json, Cookie: token={token}
Тело — из «Тестовых данных»</t>
  </si>
  <si>
    <t xml:space="preserve">405 Method Not Allowed</t>
  </si>
  <si>
    <t xml:space="preserve">BUG-17</t>
  </si>
  <si>
    <t xml:space="preserve">TC-PUT-09</t>
  </si>
  <si>
    <t xml:space="preserve">{"firstname": "Petr", "lastname": "Sidorov", "totalprice": 300, "depositpaid": false, "bookingdates": {"checkin": "2031-04-10", "checkout": "2031-04-01"}, "additionalneeds": "Dinner"}</t>
  </si>
  <si>
    <t xml:space="preserve">200 OK; бронь обновлена с checkout &lt; checkin</t>
  </si>
  <si>
    <t xml:space="preserve">TC-PUT-10</t>
  </si>
  <si>
    <t xml:space="preserve">{"firstname": "Petr", "lastname": "Sidorov", "totalprice": "abc", "depositpaid": false, "bookingdates": {"checkin": "2031-04-01", "checkout": "2031-04-10"}, "additionalneeds": "Dinner"}</t>
  </si>
  <si>
    <t xml:space="preserve">200 OK; totalprice = null</t>
  </si>
  <si>
    <t xml:space="preserve">TC-PUT-11</t>
  </si>
  <si>
    <t xml:space="preserve">{"firstname": "Petr", "lastname": "Sidorov", "totalprice": 300, "depositpaid": false, "bookingdates": {"checkin": "not-a-date", "checkout": "2031-04-10"}, "additionalneeds": "Dinner"}</t>
  </si>
  <si>
    <t xml:space="preserve">200 OK; checkin = "0NaN-aN-aN"</t>
  </si>
  <si>
    <t xml:space="preserve">TC-PUT-12</t>
  </si>
  <si>
    <t xml:space="preserve">Поле bookingid в теле запроса</t>
  </si>
  <si>
    <t xml:space="preserve">1. Отправить PUT /booking/{id}
Заголовки: Content-Type: application/json, Accept: application/json, Cookie: token={token}
Тело — из «Тестовых данных»
2. Отправить GET /booking/{id}
3. Отправить GET /booking/{новый id из тела}</t>
  </si>
  <si>
    <t xml:space="preserve">{"firstname": "Petr", "lastname": "Sidorov", "totalprice": 300, "depositpaid": false, "bookingdates": {"checkin": "2031-04-01", "checkout": "2031-04-10"}, "additionalneeds": "Dinner", "bookingid": "&lt;другой id, например 1000000000&gt;"}</t>
  </si>
  <si>
    <t xml:space="preserve">400 Bad Request либо поле bookingid игнорируется; id брони не меняется, бронь доступна по исходному id</t>
  </si>
  <si>
    <t xml:space="preserve">405 Method Not Allowed, но изменение применено: по исходному id 404, бронь доступна по id из тела. Если этот id занят — две брони с одним id, одна из них недоступна</t>
  </si>
  <si>
    <t xml:space="preserve">BUG-01</t>
  </si>
  <si>
    <t xml:space="preserve">TC-PUT-13</t>
  </si>
  <si>
    <t xml:space="preserve">{"firstname": "Petr",</t>
  </si>
  <si>
    <t xml:space="preserve">TC-PATCH-01</t>
  </si>
  <si>
    <t xml:space="preserve">PATCH /booking/:id</t>
  </si>
  <si>
    <t xml:space="preserve">Изменение firstname с токеном в Cookie</t>
  </si>
  <si>
    <t xml:space="preserve">1. Отправить PATCH /booking/{id}
Заголовки: Content-Type: application/json, Accept: application/json, Cookie: token={token}
Тело — из «Тестовых данных»
2. Отправить GET /booking/{id}</t>
  </si>
  <si>
    <t xml:space="preserve">{"firstname": "Patched"}</t>
  </si>
  <si>
    <t xml:space="preserve">200 OK; firstname = Patched, остальные поля без изменений (в ответе и в GET)</t>
  </si>
  <si>
    <t xml:space="preserve">TC-PATCH-02</t>
  </si>
  <si>
    <t xml:space="preserve">Изменение totalprice и depositpaid с Basic-авторизацией</t>
  </si>
  <si>
    <t xml:space="preserve">1. Отправить PATCH /booking/{id}
Заголовки: Content-Type: application/json, Accept: application/json, Authorization: Basic YWRtaW46cGFzc3dvcmQxMjM= (admin:password123)
Тело — из «Тестовых данных»
2. Отправить GET /booking/{id}</t>
  </si>
  <si>
    <t xml:space="preserve">{"totalprice": 999, "depositpaid": false}</t>
  </si>
  <si>
    <t xml:space="preserve">200 OK; totalprice = 999, depositpaid = false, остальные поля без изменений</t>
  </si>
  <si>
    <t xml:space="preserve">TC-PATCH-03</t>
  </si>
  <si>
    <t xml:space="preserve">Изменение только даты заезда</t>
  </si>
  <si>
    <t xml:space="preserve">{"bookingdates": {"checkin": "2031-03-12"}}</t>
  </si>
  <si>
    <t xml:space="preserve">200 OK; checkin = 2031-03-12, checkout не изменился (2031-03-15)</t>
  </si>
  <si>
    <t xml:space="preserve">200 OK; checkout затёрт: "0NaN-aN-aN"</t>
  </si>
  <si>
    <t xml:space="preserve">BUG-02</t>
  </si>
  <si>
    <t xml:space="preserve">TC-PATCH-04</t>
  </si>
  <si>
    <t xml:space="preserve">200 OK; бронь не изменилась</t>
  </si>
  <si>
    <t xml:space="preserve">TC-PATCH-05</t>
  </si>
  <si>
    <t xml:space="preserve">Изменение без авторизации</t>
  </si>
  <si>
    <t xml:space="preserve">1. Отправить PATCH /booking/{id}
Заголовки: Content-Type: application/json, Accept: application/json
Тело — из «Тестовых данных»
2. Отправить GET /booking/{id}</t>
  </si>
  <si>
    <t xml:space="preserve">{"firstname": "NoAuth"}</t>
  </si>
  <si>
    <t xml:space="preserve">TC-PATCH-06</t>
  </si>
  <si>
    <t xml:space="preserve">1. Отправить PATCH /booking/{id}
Заголовки: Content-Type: application/json, Accept: application/json, Cookie: token=invalidtoken123
Тело — из «Тестовых данных»
2. Отправить GET /booking/{id}</t>
  </si>
  <si>
    <t xml:space="preserve">{"firstname": "BadToken"}</t>
  </si>
  <si>
    <t xml:space="preserve">TC-PATCH-07</t>
  </si>
  <si>
    <t xml:space="preserve">Изменение несуществующей брони</t>
  </si>
  <si>
    <t xml:space="preserve">1. Отправить PATCH /booking/99999999
Заголовки: Content-Type: application/json, Accept: application/json, Cookie: token={token}
Тело — из «Тестовых данных»</t>
  </si>
  <si>
    <t xml:space="preserve">{"firstname": "Ghost"}</t>
  </si>
  <si>
    <t xml:space="preserve">TC-PATCH-08</t>
  </si>
  <si>
    <t xml:space="preserve">{"firstname": 123}</t>
  </si>
  <si>
    <t xml:space="preserve">200 OK; сохранено число firstname = 123</t>
  </si>
  <si>
    <t xml:space="preserve">TC-PATCH-09</t>
  </si>
  <si>
    <t xml:space="preserve">firstname = null</t>
  </si>
  <si>
    <t xml:space="preserve">{"firstname": null}</t>
  </si>
  <si>
    <t xml:space="preserve">200 OK; firstname = null</t>
  </si>
  <si>
    <t xml:space="preserve">TC-PATCH-10</t>
  </si>
  <si>
    <t xml:space="preserve">{"totalprice": "abc"}</t>
  </si>
  <si>
    <t xml:space="preserve">TC-PATCH-11</t>
  </si>
  <si>
    <t xml:space="preserve">{"bookingdates": {"checkin": "2031-12-31", "checkout": "2031-01-01"}}</t>
  </si>
  <si>
    <t xml:space="preserve">TC-PATCH-12</t>
  </si>
  <si>
    <t xml:space="preserve">1. Отправить PATCH /booking/{id}
Заголовки: Content-Type: application/json, Accept: application/json, Cookie: token={token}
Тело — из «Тестовых данных»
2. Отправить GET /booking/{id}
3. Отправить GET /booking/{новый id из тела}</t>
  </si>
  <si>
    <t xml:space="preserve">{"bookingid": "&lt;другой id, например 1000000000&gt;"}</t>
  </si>
  <si>
    <t xml:space="preserve">405 Method Not Allowed, но изменение применено: по исходному id 404, бронь доступна по id из тела</t>
  </si>
  <si>
    <t xml:space="preserve">TC-PATCH-13</t>
  </si>
  <si>
    <t xml:space="preserve">{"firstname": "Patched",</t>
  </si>
  <si>
    <t xml:space="preserve">TC-DEL-01</t>
  </si>
  <si>
    <t xml:space="preserve">DELETE /booking/:id</t>
  </si>
  <si>
    <t xml:space="preserve">Удаление брони с токеном в Cookie</t>
  </si>
  <si>
    <t xml:space="preserve">1. Отправить DELETE /booking/{id}
Заголовки: Cookie: token={token}
2. Отправить GET /booking/{id}</t>
  </si>
  <si>
    <t xml:space="preserve">200 OK (или 204 No Content); GET /booking/{id} → 404 Not Found</t>
  </si>
  <si>
    <t xml:space="preserve">201 Created; бронь удалена (GET → 404)</t>
  </si>
  <si>
    <t xml:space="preserve">BUG-18</t>
  </si>
  <si>
    <t xml:space="preserve">TC-DEL-02</t>
  </si>
  <si>
    <t xml:space="preserve">Удаление брони с Basic-авторизацией</t>
  </si>
  <si>
    <t xml:space="preserve">1. Отправить DELETE /booking/{id}
Заголовки: Authorization: Basic YWRtaW46cGFzc3dvcmQxMjM= (admin:password123)
2. Отправить GET /booking/{id}</t>
  </si>
  <si>
    <t xml:space="preserve">TC-DEL-03</t>
  </si>
  <si>
    <t xml:space="preserve">Удаление без авторизации</t>
  </si>
  <si>
    <t xml:space="preserve">1. Отправить DELETE /booking/{id} без заголовков авторизации
2. Отправить GET /booking/{id}</t>
  </si>
  <si>
    <t xml:space="preserve">403 Forbidden; бронь не удалена (GET → 200 OK)</t>
  </si>
  <si>
    <t xml:space="preserve">403 Forbidden; бронь на месте</t>
  </si>
  <si>
    <t xml:space="preserve">TC-DEL-04</t>
  </si>
  <si>
    <t xml:space="preserve">1. Отправить DELETE /booking/{id}
Заголовки: Cookie: token=invalidtoken123
2. Отправить GET /booking/{id}</t>
  </si>
  <si>
    <t xml:space="preserve">TC-DEL-05</t>
  </si>
  <si>
    <t xml:space="preserve">Удаление несуществующей брони</t>
  </si>
  <si>
    <t xml:space="preserve">1. Отправить DELETE /booking/99999999
Заголовки: Cookie: token={token}</t>
  </si>
  <si>
    <t xml:space="preserve">TC-DEL-06</t>
  </si>
  <si>
    <t xml:space="preserve">Повторное удаление уже удалённой брони</t>
  </si>
  <si>
    <t xml:space="preserve">Получен токен: POST /auth с admin / password123
Бронь создана и удалена (DELETE /booking/{id})</t>
  </si>
  <si>
    <t xml:space="preserve">1. Повторно отправить DELETE /booking/{id}
Заголовки: Cookie: token={token}</t>
  </si>
  <si>
    <t xml:space="preserve">id удалённой брони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</si>
</sst>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F2F6FA"/>
      </patternFill>
    </fill>
    <fill>
      <patternFill patternType="solid">
        <fgColor rgb="FFFFFFFF"/>
        <bgColor rgb="FFF2F6FA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A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8" customFormat="false" ht="15" hidden="false" customHeight="false" outlineLevel="0" collapsed="false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</row>
    <row r="9" customFormat="false" ht="15" hidden="false" customHeight="false" outlineLevel="0" collapsed="false">
      <c r="A9" s="5" t="s">
        <v>15</v>
      </c>
      <c r="B9" s="6" t="n">
        <f aca="false">COUNTIF('Тест-кейсы'!$A$2:$A$86,"TC-PING-*")</f>
        <v>2</v>
      </c>
      <c r="C9" s="6" t="n">
        <f aca="false">COUNTIFS('Тест-кейсы'!$A$2:$A$86,"TC-PING-*",'Тест-кейсы'!$C$2:$C$86,"Позитивный")</f>
        <v>1</v>
      </c>
      <c r="D9" s="6" t="n">
        <f aca="false">COUNTIFS('Тест-кейсы'!$A$2:$A$86,"TC-PING-*",'Тест-кейсы'!$C$2:$C$86,"Негативный")</f>
        <v>1</v>
      </c>
      <c r="E9" s="6" t="n">
        <f aca="false">COUNTIFS('Тест-кейсы'!$A$2:$A$86,"TC-PING-*",'Тест-кейсы'!$J$2:$J$86,"Passed")</f>
        <v>1</v>
      </c>
      <c r="F9" s="6" t="n">
        <f aca="false">COUNTIFS('Тест-кейсы'!$A$2:$A$86,"TC-PING-*",'Тест-кейсы'!$J$2:$J$86,"Failed")</f>
        <v>1</v>
      </c>
    </row>
    <row r="10" customFormat="false" ht="15" hidden="false" customHeight="false" outlineLevel="0" collapsed="false">
      <c r="A10" s="5" t="s">
        <v>16</v>
      </c>
      <c r="B10" s="6" t="n">
        <f aca="false">COUNTIF('Тест-кейсы'!$A$2:$A$86,"TC-AUTH-*")</f>
        <v>7</v>
      </c>
      <c r="C10" s="6" t="n">
        <f aca="false">COUNTIFS('Тест-кейсы'!$A$2:$A$86,"TC-AUTH-*",'Тест-кейсы'!$C$2:$C$86,"Позитивный")</f>
        <v>1</v>
      </c>
      <c r="D10" s="6" t="n">
        <f aca="false">COUNTIFS('Тест-кейсы'!$A$2:$A$86,"TC-AUTH-*",'Тест-кейсы'!$C$2:$C$86,"Негативный")</f>
        <v>6</v>
      </c>
      <c r="E10" s="6" t="n">
        <f aca="false">COUNTIFS('Тест-кейсы'!$A$2:$A$86,"TC-AUTH-*",'Тест-кейсы'!$J$2:$J$86,"Passed")</f>
        <v>2</v>
      </c>
      <c r="F10" s="6" t="n">
        <f aca="false">COUNTIFS('Тест-кейсы'!$A$2:$A$86,"TC-AUTH-*",'Тест-кейсы'!$J$2:$J$86,"Failed")</f>
        <v>5</v>
      </c>
    </row>
    <row r="11" customFormat="false" ht="15" hidden="false" customHeight="false" outlineLevel="0" collapsed="false">
      <c r="A11" s="5" t="s">
        <v>17</v>
      </c>
      <c r="B11" s="6" t="n">
        <f aca="false">COUNTIF('Тест-кейсы'!$A$2:$A$86,"TC-CREATE-*")</f>
        <v>21</v>
      </c>
      <c r="C11" s="6" t="n">
        <f aca="false">COUNTIFS('Тест-кейсы'!$A$2:$A$86,"TC-CREATE-*",'Тест-кейсы'!$C$2:$C$86,"Позитивный")</f>
        <v>7</v>
      </c>
      <c r="D11" s="6" t="n">
        <f aca="false">COUNTIFS('Тест-кейсы'!$A$2:$A$86,"TC-CREATE-*",'Тест-кейсы'!$C$2:$C$86,"Негативный")</f>
        <v>14</v>
      </c>
      <c r="E11" s="6" t="n">
        <f aca="false">COUNTIFS('Тест-кейсы'!$A$2:$A$86,"TC-CREATE-*",'Тест-кейсы'!$J$2:$J$86,"Passed")</f>
        <v>5</v>
      </c>
      <c r="F11" s="6" t="n">
        <f aca="false">COUNTIFS('Тест-кейсы'!$A$2:$A$86,"TC-CREATE-*",'Тест-кейсы'!$J$2:$J$86,"Failed")</f>
        <v>16</v>
      </c>
    </row>
    <row r="12" customFormat="false" ht="15" hidden="false" customHeight="false" outlineLevel="0" collapsed="false">
      <c r="A12" s="5" t="s">
        <v>18</v>
      </c>
      <c r="B12" s="6" t="n">
        <f aca="false">COUNTIF('Тест-кейсы'!$A$2:$A$86,"TC-SEARCH-*")</f>
        <v>15</v>
      </c>
      <c r="C12" s="6" t="n">
        <f aca="false">COUNTIFS('Тест-кейсы'!$A$2:$A$86,"TC-SEARCH-*",'Тест-кейсы'!$C$2:$C$86,"Позитивный")</f>
        <v>11</v>
      </c>
      <c r="D12" s="6" t="n">
        <f aca="false">COUNTIFS('Тест-кейсы'!$A$2:$A$86,"TC-SEARCH-*",'Тест-кейсы'!$C$2:$C$86,"Негативный")</f>
        <v>4</v>
      </c>
      <c r="E12" s="6" t="n">
        <f aca="false">COUNTIFS('Тест-кейсы'!$A$2:$A$86,"TC-SEARCH-*",'Тест-кейсы'!$J$2:$J$86,"Passed")</f>
        <v>9</v>
      </c>
      <c r="F12" s="6" t="n">
        <f aca="false">COUNTIFS('Тест-кейсы'!$A$2:$A$86,"TC-SEARCH-*",'Тест-кейсы'!$J$2:$J$86,"Failed")</f>
        <v>6</v>
      </c>
    </row>
    <row r="13" customFormat="false" ht="15" hidden="false" customHeight="false" outlineLevel="0" collapsed="false">
      <c r="A13" s="5" t="s">
        <v>19</v>
      </c>
      <c r="B13" s="6" t="n">
        <f aca="false">COUNTIF('Тест-кейсы'!$A$2:$A$86,"TC-GET-*")</f>
        <v>8</v>
      </c>
      <c r="C13" s="6" t="n">
        <f aca="false">COUNTIFS('Тест-кейсы'!$A$2:$A$86,"TC-GET-*",'Тест-кейсы'!$C$2:$C$86,"Позитивный")</f>
        <v>4</v>
      </c>
      <c r="D13" s="6" t="n">
        <f aca="false">COUNTIFS('Тест-кейсы'!$A$2:$A$86,"TC-GET-*",'Тест-кейсы'!$C$2:$C$86,"Негативный")</f>
        <v>4</v>
      </c>
      <c r="E13" s="6" t="n">
        <f aca="false">COUNTIFS('Тест-кейсы'!$A$2:$A$86,"TC-GET-*",'Тест-кейсы'!$J$2:$J$86,"Passed")</f>
        <v>5</v>
      </c>
      <c r="F13" s="6" t="n">
        <f aca="false">COUNTIFS('Тест-кейсы'!$A$2:$A$86,"TC-GET-*",'Тест-кейсы'!$J$2:$J$86,"Failed")</f>
        <v>3</v>
      </c>
    </row>
    <row r="14" customFormat="false" ht="15" hidden="false" customHeight="false" outlineLevel="0" collapsed="false">
      <c r="A14" s="5" t="s">
        <v>20</v>
      </c>
      <c r="B14" s="6" t="n">
        <f aca="false">COUNTIF('Тест-кейсы'!$A$2:$A$86,"TC-PUT-*")</f>
        <v>13</v>
      </c>
      <c r="C14" s="6" t="n">
        <f aca="false">COUNTIFS('Тест-кейсы'!$A$2:$A$86,"TC-PUT-*",'Тест-кейсы'!$C$2:$C$86,"Позитивный")</f>
        <v>3</v>
      </c>
      <c r="D14" s="6" t="n">
        <f aca="false">COUNTIFS('Тест-кейсы'!$A$2:$A$86,"TC-PUT-*",'Тест-кейсы'!$C$2:$C$86,"Негативный")</f>
        <v>10</v>
      </c>
      <c r="E14" s="6" t="n">
        <f aca="false">COUNTIFS('Тест-кейсы'!$A$2:$A$86,"TC-PUT-*",'Тест-кейсы'!$J$2:$J$86,"Passed")</f>
        <v>7</v>
      </c>
      <c r="F14" s="6" t="n">
        <f aca="false">COUNTIFS('Тест-кейсы'!$A$2:$A$86,"TC-PUT-*",'Тест-кейсы'!$J$2:$J$86,"Failed")</f>
        <v>6</v>
      </c>
    </row>
    <row r="15" customFormat="false" ht="15" hidden="false" customHeight="false" outlineLevel="0" collapsed="false">
      <c r="A15" s="5" t="s">
        <v>21</v>
      </c>
      <c r="B15" s="6" t="n">
        <f aca="false">COUNTIF('Тест-кейсы'!$A$2:$A$86,"TC-PATCH-*")</f>
        <v>13</v>
      </c>
      <c r="C15" s="6" t="n">
        <f aca="false">COUNTIFS('Тест-кейсы'!$A$2:$A$86,"TC-PATCH-*",'Тест-кейсы'!$C$2:$C$86,"Позитивный")</f>
        <v>4</v>
      </c>
      <c r="D15" s="6" t="n">
        <f aca="false">COUNTIFS('Тест-кейсы'!$A$2:$A$86,"TC-PATCH-*",'Тест-кейсы'!$C$2:$C$86,"Негативный")</f>
        <v>9</v>
      </c>
      <c r="E15" s="6" t="n">
        <f aca="false">COUNTIFS('Тест-кейсы'!$A$2:$A$86,"TC-PATCH-*",'Тест-кейсы'!$J$2:$J$86,"Passed")</f>
        <v>6</v>
      </c>
      <c r="F15" s="6" t="n">
        <f aca="false">COUNTIFS('Тест-кейсы'!$A$2:$A$86,"TC-PATCH-*",'Тест-кейсы'!$J$2:$J$86,"Failed")</f>
        <v>7</v>
      </c>
    </row>
    <row r="16" customFormat="false" ht="15" hidden="false" customHeight="false" outlineLevel="0" collapsed="false">
      <c r="A16" s="5" t="s">
        <v>22</v>
      </c>
      <c r="B16" s="6" t="n">
        <f aca="false">COUNTIF('Тест-кейсы'!$A$2:$A$86,"TC-DEL-*")</f>
        <v>6</v>
      </c>
      <c r="C16" s="6" t="n">
        <f aca="false">COUNTIFS('Тест-кейсы'!$A$2:$A$86,"TC-DEL-*",'Тест-кейсы'!$C$2:$C$86,"Позитивный")</f>
        <v>2</v>
      </c>
      <c r="D16" s="6" t="n">
        <f aca="false">COUNTIFS('Тест-кейсы'!$A$2:$A$86,"TC-DEL-*",'Тест-кейсы'!$C$2:$C$86,"Негативный")</f>
        <v>4</v>
      </c>
      <c r="E16" s="6" t="n">
        <f aca="false">COUNTIFS('Тест-кейсы'!$A$2:$A$86,"TC-DEL-*",'Тест-кейсы'!$J$2:$J$86,"Passed")</f>
        <v>2</v>
      </c>
      <c r="F16" s="6" t="n">
        <f aca="false">COUNTIFS('Тест-кейсы'!$A$2:$A$86,"TC-DEL-*",'Тест-кейсы'!$J$2:$J$86,"Failed")</f>
        <v>4</v>
      </c>
    </row>
    <row r="17" customFormat="false" ht="15" hidden="false" customHeight="false" outlineLevel="0" collapsed="false">
      <c r="A17" s="7" t="s">
        <v>23</v>
      </c>
      <c r="B17" s="8" t="n">
        <f aca="false">SUM(B9:B16)</f>
        <v>85</v>
      </c>
      <c r="C17" s="8" t="n">
        <f aca="false">SUM(C9:C16)</f>
        <v>33</v>
      </c>
      <c r="D17" s="8" t="n">
        <f aca="false">SUM(D9:D16)</f>
        <v>52</v>
      </c>
      <c r="E17" s="8" t="n">
        <f aca="false">SUM(E9:E16)</f>
        <v>37</v>
      </c>
      <c r="F17" s="8" t="n">
        <f aca="false">SUM(F9:F16)</f>
        <v>48</v>
      </c>
    </row>
    <row r="19" customFormat="false" ht="15" hidden="false" customHeight="false" outlineLevel="0" collapsed="false">
      <c r="A19" s="2" t="s">
        <v>24</v>
      </c>
    </row>
    <row r="20" customFormat="false" ht="15" hidden="false" customHeight="false" outlineLevel="0" collapsed="false">
      <c r="A20" s="0" t="s">
        <v>25</v>
      </c>
    </row>
    <row r="21" customFormat="false" ht="15" hidden="false" customHeight="false" outlineLevel="0" collapsed="false">
      <c r="A21" s="0" t="s">
        <v>26</v>
      </c>
    </row>
    <row r="22" customFormat="false" ht="15" hidden="false" customHeight="false" outlineLevel="0" collapsed="false">
      <c r="A22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5" min="5" style="0" width="32"/>
    <col collapsed="false" customWidth="true" hidden="false" outlineLevel="0" max="6" min="6" style="0" width="46"/>
    <col collapsed="false" customWidth="true" hidden="false" outlineLevel="0" max="7" min="7" style="0" width="48"/>
    <col collapsed="false" customWidth="true" hidden="false" outlineLevel="0" max="9" min="8" style="0" width="44"/>
    <col collapsed="false" customWidth="true" hidden="false" outlineLevel="0" max="11" min="10" style="0" width="10"/>
  </cols>
  <sheetData>
    <row r="1" customFormat="false" ht="30" hidden="false" customHeight="true" outlineLevel="0" collapsed="false">
      <c r="A1" s="9" t="s">
        <v>28</v>
      </c>
      <c r="B1" s="9" t="s">
        <v>9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34</v>
      </c>
      <c r="I1" s="9" t="s">
        <v>35</v>
      </c>
      <c r="J1" s="9" t="s">
        <v>36</v>
      </c>
      <c r="K1" s="9" t="s">
        <v>37</v>
      </c>
    </row>
    <row r="2" customFormat="false" ht="31.3" hidden="false" customHeight="false" outlineLevel="0" collapsed="false">
      <c r="A2" s="10" t="s">
        <v>38</v>
      </c>
      <c r="B2" s="11" t="s">
        <v>39</v>
      </c>
      <c r="C2" s="12" t="s">
        <v>40</v>
      </c>
      <c r="D2" s="11" t="s">
        <v>41</v>
      </c>
      <c r="E2" s="11" t="s">
        <v>42</v>
      </c>
      <c r="F2" s="11" t="s">
        <v>43</v>
      </c>
      <c r="G2" s="11" t="s">
        <v>42</v>
      </c>
      <c r="H2" s="11" t="s">
        <v>44</v>
      </c>
      <c r="I2" s="11" t="s">
        <v>45</v>
      </c>
      <c r="J2" s="12" t="s">
        <v>14</v>
      </c>
      <c r="K2" s="12" t="s">
        <v>46</v>
      </c>
    </row>
    <row r="3" customFormat="false" ht="31.3" hidden="false" customHeight="false" outlineLevel="0" collapsed="false">
      <c r="A3" s="10" t="s">
        <v>47</v>
      </c>
      <c r="B3" s="11" t="s">
        <v>48</v>
      </c>
      <c r="C3" s="12" t="s">
        <v>49</v>
      </c>
      <c r="D3" s="11" t="s">
        <v>50</v>
      </c>
      <c r="E3" s="11" t="s">
        <v>42</v>
      </c>
      <c r="F3" s="11" t="s">
        <v>51</v>
      </c>
      <c r="G3" s="11" t="s">
        <v>42</v>
      </c>
      <c r="H3" s="11" t="s">
        <v>52</v>
      </c>
      <c r="I3" s="11" t="s">
        <v>53</v>
      </c>
      <c r="J3" s="12" t="s">
        <v>13</v>
      </c>
      <c r="K3" s="12" t="s">
        <v>42</v>
      </c>
    </row>
    <row r="4" customFormat="false" ht="46.25" hidden="false" customHeight="false" outlineLevel="0" collapsed="false">
      <c r="A4" s="13" t="s">
        <v>54</v>
      </c>
      <c r="B4" s="14" t="s">
        <v>55</v>
      </c>
      <c r="C4" s="15" t="s">
        <v>40</v>
      </c>
      <c r="D4" s="14" t="s">
        <v>56</v>
      </c>
      <c r="E4" s="14" t="s">
        <v>42</v>
      </c>
      <c r="F4" s="14" t="s">
        <v>57</v>
      </c>
      <c r="G4" s="14" t="s">
        <v>58</v>
      </c>
      <c r="H4" s="14" t="s">
        <v>59</v>
      </c>
      <c r="I4" s="14" t="s">
        <v>60</v>
      </c>
      <c r="J4" s="15" t="s">
        <v>13</v>
      </c>
      <c r="K4" s="15" t="s">
        <v>42</v>
      </c>
    </row>
    <row r="5" customFormat="false" ht="46.25" hidden="false" customHeight="false" outlineLevel="0" collapsed="false">
      <c r="A5" s="13" t="s">
        <v>61</v>
      </c>
      <c r="B5" s="14" t="s">
        <v>55</v>
      </c>
      <c r="C5" s="15" t="s">
        <v>49</v>
      </c>
      <c r="D5" s="14" t="s">
        <v>62</v>
      </c>
      <c r="E5" s="14" t="s">
        <v>42</v>
      </c>
      <c r="F5" s="14" t="s">
        <v>57</v>
      </c>
      <c r="G5" s="14" t="s">
        <v>63</v>
      </c>
      <c r="H5" s="14" t="s">
        <v>64</v>
      </c>
      <c r="I5" s="14" t="s">
        <v>65</v>
      </c>
      <c r="J5" s="15" t="s">
        <v>14</v>
      </c>
      <c r="K5" s="15" t="s">
        <v>66</v>
      </c>
    </row>
    <row r="6" customFormat="false" ht="46.25" hidden="false" customHeight="false" outlineLevel="0" collapsed="false">
      <c r="A6" s="13" t="s">
        <v>67</v>
      </c>
      <c r="B6" s="14" t="s">
        <v>55</v>
      </c>
      <c r="C6" s="15" t="s">
        <v>49</v>
      </c>
      <c r="D6" s="14" t="s">
        <v>68</v>
      </c>
      <c r="E6" s="14" t="s">
        <v>42</v>
      </c>
      <c r="F6" s="14" t="s">
        <v>57</v>
      </c>
      <c r="G6" s="14" t="s">
        <v>69</v>
      </c>
      <c r="H6" s="14" t="s">
        <v>64</v>
      </c>
      <c r="I6" s="14" t="s">
        <v>65</v>
      </c>
      <c r="J6" s="15" t="s">
        <v>14</v>
      </c>
      <c r="K6" s="15" t="s">
        <v>66</v>
      </c>
    </row>
    <row r="7" customFormat="false" ht="46.25" hidden="false" customHeight="false" outlineLevel="0" collapsed="false">
      <c r="A7" s="13" t="s">
        <v>70</v>
      </c>
      <c r="B7" s="14" t="s">
        <v>55</v>
      </c>
      <c r="C7" s="15" t="s">
        <v>49</v>
      </c>
      <c r="D7" s="14" t="s">
        <v>71</v>
      </c>
      <c r="E7" s="14" t="s">
        <v>42</v>
      </c>
      <c r="F7" s="14" t="s">
        <v>57</v>
      </c>
      <c r="G7" s="14" t="s">
        <v>72</v>
      </c>
      <c r="H7" s="14" t="s">
        <v>73</v>
      </c>
      <c r="I7" s="14" t="s">
        <v>65</v>
      </c>
      <c r="J7" s="15" t="s">
        <v>14</v>
      </c>
      <c r="K7" s="15" t="s">
        <v>74</v>
      </c>
    </row>
    <row r="8" customFormat="false" ht="46.25" hidden="false" customHeight="false" outlineLevel="0" collapsed="false">
      <c r="A8" s="13" t="s">
        <v>75</v>
      </c>
      <c r="B8" s="14" t="s">
        <v>55</v>
      </c>
      <c r="C8" s="15" t="s">
        <v>49</v>
      </c>
      <c r="D8" s="14" t="s">
        <v>76</v>
      </c>
      <c r="E8" s="14" t="s">
        <v>42</v>
      </c>
      <c r="F8" s="14" t="s">
        <v>57</v>
      </c>
      <c r="G8" s="14" t="s">
        <v>77</v>
      </c>
      <c r="H8" s="14" t="s">
        <v>73</v>
      </c>
      <c r="I8" s="14" t="s">
        <v>65</v>
      </c>
      <c r="J8" s="15" t="s">
        <v>14</v>
      </c>
      <c r="K8" s="15" t="s">
        <v>74</v>
      </c>
    </row>
    <row r="9" customFormat="false" ht="46.25" hidden="false" customHeight="false" outlineLevel="0" collapsed="false">
      <c r="A9" s="13" t="s">
        <v>78</v>
      </c>
      <c r="B9" s="14" t="s">
        <v>55</v>
      </c>
      <c r="C9" s="15" t="s">
        <v>49</v>
      </c>
      <c r="D9" s="14" t="s">
        <v>79</v>
      </c>
      <c r="E9" s="14" t="s">
        <v>42</v>
      </c>
      <c r="F9" s="14" t="s">
        <v>57</v>
      </c>
      <c r="G9" s="14" t="s">
        <v>80</v>
      </c>
      <c r="H9" s="14" t="s">
        <v>73</v>
      </c>
      <c r="I9" s="14" t="s">
        <v>65</v>
      </c>
      <c r="J9" s="15" t="s">
        <v>14</v>
      </c>
      <c r="K9" s="15" t="s">
        <v>74</v>
      </c>
    </row>
    <row r="10" customFormat="false" ht="46.25" hidden="false" customHeight="false" outlineLevel="0" collapsed="false">
      <c r="A10" s="13" t="s">
        <v>81</v>
      </c>
      <c r="B10" s="14" t="s">
        <v>55</v>
      </c>
      <c r="C10" s="15" t="s">
        <v>49</v>
      </c>
      <c r="D10" s="14" t="s">
        <v>82</v>
      </c>
      <c r="E10" s="14" t="s">
        <v>42</v>
      </c>
      <c r="F10" s="14" t="s">
        <v>57</v>
      </c>
      <c r="G10" s="14" t="s">
        <v>83</v>
      </c>
      <c r="H10" s="14" t="s">
        <v>84</v>
      </c>
      <c r="I10" s="14" t="s">
        <v>84</v>
      </c>
      <c r="J10" s="15" t="s">
        <v>13</v>
      </c>
      <c r="K10" s="15" t="s">
        <v>42</v>
      </c>
    </row>
    <row r="11" customFormat="false" ht="76.1" hidden="false" customHeight="false" outlineLevel="0" collapsed="false">
      <c r="A11" s="10" t="s">
        <v>85</v>
      </c>
      <c r="B11" s="11" t="s">
        <v>86</v>
      </c>
      <c r="C11" s="12" t="s">
        <v>40</v>
      </c>
      <c r="D11" s="11" t="s">
        <v>87</v>
      </c>
      <c r="E11" s="11" t="s">
        <v>42</v>
      </c>
      <c r="F11" s="11" t="s">
        <v>88</v>
      </c>
      <c r="G11" s="11" t="s">
        <v>89</v>
      </c>
      <c r="H11" s="11" t="s">
        <v>90</v>
      </c>
      <c r="I11" s="11" t="s">
        <v>91</v>
      </c>
      <c r="J11" s="12" t="s">
        <v>13</v>
      </c>
      <c r="K11" s="12" t="s">
        <v>42</v>
      </c>
    </row>
    <row r="12" customFormat="false" ht="76.1" hidden="false" customHeight="false" outlineLevel="0" collapsed="false">
      <c r="A12" s="10" t="s">
        <v>92</v>
      </c>
      <c r="B12" s="11" t="s">
        <v>86</v>
      </c>
      <c r="C12" s="12" t="s">
        <v>40</v>
      </c>
      <c r="D12" s="11" t="s">
        <v>93</v>
      </c>
      <c r="E12" s="11" t="s">
        <v>42</v>
      </c>
      <c r="F12" s="11" t="s">
        <v>88</v>
      </c>
      <c r="G12" s="11" t="s">
        <v>94</v>
      </c>
      <c r="H12" s="11" t="s">
        <v>95</v>
      </c>
      <c r="I12" s="11" t="s">
        <v>96</v>
      </c>
      <c r="J12" s="12" t="s">
        <v>13</v>
      </c>
      <c r="K12" s="12" t="s">
        <v>42</v>
      </c>
    </row>
    <row r="13" customFormat="false" ht="76.1" hidden="false" customHeight="false" outlineLevel="0" collapsed="false">
      <c r="A13" s="10" t="s">
        <v>97</v>
      </c>
      <c r="B13" s="11" t="s">
        <v>86</v>
      </c>
      <c r="C13" s="12" t="s">
        <v>40</v>
      </c>
      <c r="D13" s="11" t="s">
        <v>98</v>
      </c>
      <c r="E13" s="11" t="s">
        <v>42</v>
      </c>
      <c r="F13" s="11" t="s">
        <v>88</v>
      </c>
      <c r="G13" s="11" t="s">
        <v>99</v>
      </c>
      <c r="H13" s="11" t="s">
        <v>100</v>
      </c>
      <c r="I13" s="11" t="s">
        <v>96</v>
      </c>
      <c r="J13" s="12" t="s">
        <v>13</v>
      </c>
      <c r="K13" s="12" t="s">
        <v>42</v>
      </c>
    </row>
    <row r="14" customFormat="false" ht="76.1" hidden="false" customHeight="false" outlineLevel="0" collapsed="false">
      <c r="A14" s="10" t="s">
        <v>101</v>
      </c>
      <c r="B14" s="11" t="s">
        <v>86</v>
      </c>
      <c r="C14" s="12" t="s">
        <v>40</v>
      </c>
      <c r="D14" s="11" t="s">
        <v>102</v>
      </c>
      <c r="E14" s="11" t="s">
        <v>42</v>
      </c>
      <c r="F14" s="11" t="s">
        <v>88</v>
      </c>
      <c r="G14" s="11" t="s">
        <v>103</v>
      </c>
      <c r="H14" s="11" t="s">
        <v>104</v>
      </c>
      <c r="I14" s="11" t="s">
        <v>96</v>
      </c>
      <c r="J14" s="12" t="s">
        <v>13</v>
      </c>
      <c r="K14" s="12" t="s">
        <v>42</v>
      </c>
    </row>
    <row r="15" customFormat="false" ht="76.1" hidden="false" customHeight="false" outlineLevel="0" collapsed="false">
      <c r="A15" s="10" t="s">
        <v>105</v>
      </c>
      <c r="B15" s="11" t="s">
        <v>86</v>
      </c>
      <c r="C15" s="12" t="s">
        <v>40</v>
      </c>
      <c r="D15" s="11" t="s">
        <v>106</v>
      </c>
      <c r="E15" s="11" t="s">
        <v>42</v>
      </c>
      <c r="F15" s="11" t="s">
        <v>88</v>
      </c>
      <c r="G15" s="11" t="s">
        <v>107</v>
      </c>
      <c r="H15" s="11" t="s">
        <v>108</v>
      </c>
      <c r="I15" s="11" t="s">
        <v>109</v>
      </c>
      <c r="J15" s="12" t="s">
        <v>14</v>
      </c>
      <c r="K15" s="12" t="s">
        <v>110</v>
      </c>
    </row>
    <row r="16" customFormat="false" ht="120.85" hidden="false" customHeight="false" outlineLevel="0" collapsed="false">
      <c r="A16" s="10" t="s">
        <v>111</v>
      </c>
      <c r="B16" s="11" t="s">
        <v>86</v>
      </c>
      <c r="C16" s="12" t="s">
        <v>40</v>
      </c>
      <c r="D16" s="11" t="s">
        <v>112</v>
      </c>
      <c r="E16" s="11" t="s">
        <v>42</v>
      </c>
      <c r="F16" s="11" t="s">
        <v>113</v>
      </c>
      <c r="G16" s="11" t="s">
        <v>114</v>
      </c>
      <c r="H16" s="11" t="s">
        <v>115</v>
      </c>
      <c r="I16" s="11" t="s">
        <v>116</v>
      </c>
      <c r="J16" s="12" t="s">
        <v>14</v>
      </c>
      <c r="K16" s="12" t="s">
        <v>117</v>
      </c>
    </row>
    <row r="17" customFormat="false" ht="76.1" hidden="false" customHeight="false" outlineLevel="0" collapsed="false">
      <c r="A17" s="10" t="s">
        <v>118</v>
      </c>
      <c r="B17" s="11" t="s">
        <v>86</v>
      </c>
      <c r="C17" s="12" t="s">
        <v>40</v>
      </c>
      <c r="D17" s="11" t="s">
        <v>119</v>
      </c>
      <c r="E17" s="11" t="s">
        <v>42</v>
      </c>
      <c r="F17" s="11" t="s">
        <v>120</v>
      </c>
      <c r="G17" s="11" t="s">
        <v>121</v>
      </c>
      <c r="H17" s="11" t="s">
        <v>122</v>
      </c>
      <c r="I17" s="11" t="s">
        <v>123</v>
      </c>
      <c r="J17" s="12" t="s">
        <v>14</v>
      </c>
      <c r="K17" s="12" t="s">
        <v>124</v>
      </c>
    </row>
    <row r="18" customFormat="false" ht="61.15" hidden="false" customHeight="false" outlineLevel="0" collapsed="false">
      <c r="A18" s="10" t="s">
        <v>125</v>
      </c>
      <c r="B18" s="11" t="s">
        <v>86</v>
      </c>
      <c r="C18" s="12" t="s">
        <v>49</v>
      </c>
      <c r="D18" s="11" t="s">
        <v>71</v>
      </c>
      <c r="E18" s="11" t="s">
        <v>42</v>
      </c>
      <c r="F18" s="11" t="s">
        <v>126</v>
      </c>
      <c r="G18" s="11" t="s">
        <v>72</v>
      </c>
      <c r="H18" s="11" t="s">
        <v>127</v>
      </c>
      <c r="I18" s="11" t="s">
        <v>128</v>
      </c>
      <c r="J18" s="12" t="s">
        <v>14</v>
      </c>
      <c r="K18" s="12" t="s">
        <v>129</v>
      </c>
    </row>
    <row r="19" customFormat="false" ht="61.15" hidden="false" customHeight="false" outlineLevel="0" collapsed="false">
      <c r="A19" s="10" t="s">
        <v>130</v>
      </c>
      <c r="B19" s="11" t="s">
        <v>86</v>
      </c>
      <c r="C19" s="12" t="s">
        <v>49</v>
      </c>
      <c r="D19" s="11" t="s">
        <v>131</v>
      </c>
      <c r="E19" s="11" t="s">
        <v>42</v>
      </c>
      <c r="F19" s="11" t="s">
        <v>126</v>
      </c>
      <c r="G19" s="11" t="s">
        <v>132</v>
      </c>
      <c r="H19" s="11" t="s">
        <v>127</v>
      </c>
      <c r="I19" s="11" t="s">
        <v>128</v>
      </c>
      <c r="J19" s="12" t="s">
        <v>14</v>
      </c>
      <c r="K19" s="12" t="s">
        <v>129</v>
      </c>
    </row>
    <row r="20" customFormat="false" ht="61.15" hidden="false" customHeight="false" outlineLevel="0" collapsed="false">
      <c r="A20" s="10" t="s">
        <v>133</v>
      </c>
      <c r="B20" s="11" t="s">
        <v>86</v>
      </c>
      <c r="C20" s="12" t="s">
        <v>49</v>
      </c>
      <c r="D20" s="11" t="s">
        <v>134</v>
      </c>
      <c r="E20" s="11" t="s">
        <v>42</v>
      </c>
      <c r="F20" s="11" t="s">
        <v>126</v>
      </c>
      <c r="G20" s="11" t="s">
        <v>135</v>
      </c>
      <c r="H20" s="11" t="s">
        <v>127</v>
      </c>
      <c r="I20" s="11" t="s">
        <v>128</v>
      </c>
      <c r="J20" s="12" t="s">
        <v>14</v>
      </c>
      <c r="K20" s="12" t="s">
        <v>129</v>
      </c>
    </row>
    <row r="21" customFormat="false" ht="61.15" hidden="false" customHeight="false" outlineLevel="0" collapsed="false">
      <c r="A21" s="10" t="s">
        <v>136</v>
      </c>
      <c r="B21" s="11" t="s">
        <v>86</v>
      </c>
      <c r="C21" s="12" t="s">
        <v>49</v>
      </c>
      <c r="D21" s="11" t="s">
        <v>137</v>
      </c>
      <c r="E21" s="11" t="s">
        <v>42</v>
      </c>
      <c r="F21" s="11" t="s">
        <v>126</v>
      </c>
      <c r="G21" s="11" t="s">
        <v>138</v>
      </c>
      <c r="H21" s="11" t="s">
        <v>127</v>
      </c>
      <c r="I21" s="11" t="s">
        <v>128</v>
      </c>
      <c r="J21" s="12" t="s">
        <v>14</v>
      </c>
      <c r="K21" s="12" t="s">
        <v>129</v>
      </c>
    </row>
    <row r="22" customFormat="false" ht="61.15" hidden="false" customHeight="false" outlineLevel="0" collapsed="false">
      <c r="A22" s="10" t="s">
        <v>139</v>
      </c>
      <c r="B22" s="11" t="s">
        <v>86</v>
      </c>
      <c r="C22" s="12" t="s">
        <v>49</v>
      </c>
      <c r="D22" s="11" t="s">
        <v>140</v>
      </c>
      <c r="E22" s="11" t="s">
        <v>42</v>
      </c>
      <c r="F22" s="11" t="s">
        <v>126</v>
      </c>
      <c r="G22" s="11" t="s">
        <v>141</v>
      </c>
      <c r="H22" s="11" t="s">
        <v>127</v>
      </c>
      <c r="I22" s="11" t="s">
        <v>142</v>
      </c>
      <c r="J22" s="12" t="s">
        <v>14</v>
      </c>
      <c r="K22" s="12" t="s">
        <v>143</v>
      </c>
    </row>
    <row r="23" customFormat="false" ht="61.15" hidden="false" customHeight="false" outlineLevel="0" collapsed="false">
      <c r="A23" s="10" t="s">
        <v>144</v>
      </c>
      <c r="B23" s="11" t="s">
        <v>86</v>
      </c>
      <c r="C23" s="12" t="s">
        <v>49</v>
      </c>
      <c r="D23" s="11" t="s">
        <v>145</v>
      </c>
      <c r="E23" s="11" t="s">
        <v>42</v>
      </c>
      <c r="F23" s="11" t="s">
        <v>126</v>
      </c>
      <c r="G23" s="11" t="s">
        <v>146</v>
      </c>
      <c r="H23" s="11" t="s">
        <v>127</v>
      </c>
      <c r="I23" s="11" t="s">
        <v>147</v>
      </c>
      <c r="J23" s="12" t="s">
        <v>14</v>
      </c>
      <c r="K23" s="12" t="s">
        <v>148</v>
      </c>
    </row>
    <row r="24" customFormat="false" ht="61.15" hidden="false" customHeight="false" outlineLevel="0" collapsed="false">
      <c r="A24" s="10" t="s">
        <v>149</v>
      </c>
      <c r="B24" s="11" t="s">
        <v>86</v>
      </c>
      <c r="C24" s="12" t="s">
        <v>49</v>
      </c>
      <c r="D24" s="11" t="s">
        <v>150</v>
      </c>
      <c r="E24" s="11" t="s">
        <v>42</v>
      </c>
      <c r="F24" s="11" t="s">
        <v>126</v>
      </c>
      <c r="G24" s="11" t="s">
        <v>151</v>
      </c>
      <c r="H24" s="11" t="s">
        <v>127</v>
      </c>
      <c r="I24" s="11" t="s">
        <v>152</v>
      </c>
      <c r="J24" s="12" t="s">
        <v>14</v>
      </c>
      <c r="K24" s="12" t="s">
        <v>153</v>
      </c>
    </row>
    <row r="25" customFormat="false" ht="61.15" hidden="false" customHeight="false" outlineLevel="0" collapsed="false">
      <c r="A25" s="10" t="s">
        <v>154</v>
      </c>
      <c r="B25" s="11" t="s">
        <v>86</v>
      </c>
      <c r="C25" s="12" t="s">
        <v>49</v>
      </c>
      <c r="D25" s="11" t="s">
        <v>155</v>
      </c>
      <c r="E25" s="11" t="s">
        <v>42</v>
      </c>
      <c r="F25" s="11" t="s">
        <v>126</v>
      </c>
      <c r="G25" s="11" t="s">
        <v>156</v>
      </c>
      <c r="H25" s="11" t="s">
        <v>127</v>
      </c>
      <c r="I25" s="11" t="s">
        <v>157</v>
      </c>
      <c r="J25" s="12" t="s">
        <v>14</v>
      </c>
      <c r="K25" s="12" t="s">
        <v>158</v>
      </c>
    </row>
    <row r="26" customFormat="false" ht="61.15" hidden="false" customHeight="false" outlineLevel="0" collapsed="false">
      <c r="A26" s="10" t="s">
        <v>159</v>
      </c>
      <c r="B26" s="11" t="s">
        <v>86</v>
      </c>
      <c r="C26" s="12" t="s">
        <v>49</v>
      </c>
      <c r="D26" s="11" t="s">
        <v>160</v>
      </c>
      <c r="E26" s="11" t="s">
        <v>42</v>
      </c>
      <c r="F26" s="11" t="s">
        <v>126</v>
      </c>
      <c r="G26" s="11" t="s">
        <v>161</v>
      </c>
      <c r="H26" s="11" t="s">
        <v>127</v>
      </c>
      <c r="I26" s="11" t="s">
        <v>162</v>
      </c>
      <c r="J26" s="12" t="s">
        <v>14</v>
      </c>
      <c r="K26" s="12" t="s">
        <v>163</v>
      </c>
    </row>
    <row r="27" customFormat="false" ht="61.15" hidden="false" customHeight="false" outlineLevel="0" collapsed="false">
      <c r="A27" s="10" t="s">
        <v>164</v>
      </c>
      <c r="B27" s="11" t="s">
        <v>86</v>
      </c>
      <c r="C27" s="12" t="s">
        <v>49</v>
      </c>
      <c r="D27" s="11" t="s">
        <v>165</v>
      </c>
      <c r="E27" s="11" t="s">
        <v>42</v>
      </c>
      <c r="F27" s="11" t="s">
        <v>126</v>
      </c>
      <c r="G27" s="11" t="s">
        <v>166</v>
      </c>
      <c r="H27" s="11" t="s">
        <v>127</v>
      </c>
      <c r="I27" s="11" t="s">
        <v>167</v>
      </c>
      <c r="J27" s="12" t="s">
        <v>14</v>
      </c>
      <c r="K27" s="12" t="s">
        <v>168</v>
      </c>
    </row>
    <row r="28" customFormat="false" ht="61.15" hidden="false" customHeight="false" outlineLevel="0" collapsed="false">
      <c r="A28" s="10" t="s">
        <v>169</v>
      </c>
      <c r="B28" s="11" t="s">
        <v>86</v>
      </c>
      <c r="C28" s="12" t="s">
        <v>49</v>
      </c>
      <c r="D28" s="11" t="s">
        <v>170</v>
      </c>
      <c r="E28" s="11" t="s">
        <v>42</v>
      </c>
      <c r="F28" s="11" t="s">
        <v>126</v>
      </c>
      <c r="G28" s="11" t="s">
        <v>171</v>
      </c>
      <c r="H28" s="11" t="s">
        <v>127</v>
      </c>
      <c r="I28" s="11" t="s">
        <v>172</v>
      </c>
      <c r="J28" s="12" t="s">
        <v>14</v>
      </c>
      <c r="K28" s="12" t="s">
        <v>173</v>
      </c>
    </row>
    <row r="29" customFormat="false" ht="61.15" hidden="false" customHeight="false" outlineLevel="0" collapsed="false">
      <c r="A29" s="10" t="s">
        <v>174</v>
      </c>
      <c r="B29" s="11" t="s">
        <v>86</v>
      </c>
      <c r="C29" s="12" t="s">
        <v>49</v>
      </c>
      <c r="D29" s="11" t="s">
        <v>82</v>
      </c>
      <c r="E29" s="11" t="s">
        <v>42</v>
      </c>
      <c r="F29" s="11" t="s">
        <v>126</v>
      </c>
      <c r="G29" s="11" t="s">
        <v>175</v>
      </c>
      <c r="H29" s="11" t="s">
        <v>84</v>
      </c>
      <c r="I29" s="11" t="s">
        <v>84</v>
      </c>
      <c r="J29" s="12" t="s">
        <v>13</v>
      </c>
      <c r="K29" s="12" t="s">
        <v>42</v>
      </c>
    </row>
    <row r="30" customFormat="false" ht="61.15" hidden="false" customHeight="false" outlineLevel="0" collapsed="false">
      <c r="A30" s="10" t="s">
        <v>176</v>
      </c>
      <c r="B30" s="11" t="s">
        <v>86</v>
      </c>
      <c r="C30" s="12" t="s">
        <v>49</v>
      </c>
      <c r="D30" s="11" t="s">
        <v>177</v>
      </c>
      <c r="E30" s="11" t="s">
        <v>42</v>
      </c>
      <c r="F30" s="11" t="s">
        <v>178</v>
      </c>
      <c r="G30" s="11" t="s">
        <v>89</v>
      </c>
      <c r="H30" s="11" t="s">
        <v>179</v>
      </c>
      <c r="I30" s="11" t="s">
        <v>128</v>
      </c>
      <c r="J30" s="12" t="s">
        <v>14</v>
      </c>
      <c r="K30" s="12" t="s">
        <v>180</v>
      </c>
    </row>
    <row r="31" customFormat="false" ht="61.15" hidden="false" customHeight="false" outlineLevel="0" collapsed="false">
      <c r="A31" s="10" t="s">
        <v>181</v>
      </c>
      <c r="B31" s="11" t="s">
        <v>86</v>
      </c>
      <c r="C31" s="12" t="s">
        <v>49</v>
      </c>
      <c r="D31" s="11" t="s">
        <v>182</v>
      </c>
      <c r="E31" s="11" t="s">
        <v>42</v>
      </c>
      <c r="F31" s="11" t="s">
        <v>183</v>
      </c>
      <c r="G31" s="11" t="s">
        <v>89</v>
      </c>
      <c r="H31" s="11" t="s">
        <v>184</v>
      </c>
      <c r="I31" s="11" t="s">
        <v>185</v>
      </c>
      <c r="J31" s="12" t="s">
        <v>14</v>
      </c>
      <c r="K31" s="12" t="s">
        <v>186</v>
      </c>
    </row>
    <row r="32" customFormat="false" ht="91" hidden="false" customHeight="false" outlineLevel="0" collapsed="false">
      <c r="A32" s="13" t="s">
        <v>187</v>
      </c>
      <c r="B32" s="14" t="s">
        <v>188</v>
      </c>
      <c r="C32" s="15" t="s">
        <v>40</v>
      </c>
      <c r="D32" s="14" t="s">
        <v>189</v>
      </c>
      <c r="E32" s="14" t="s">
        <v>190</v>
      </c>
      <c r="F32" s="14" t="s">
        <v>191</v>
      </c>
      <c r="G32" s="14" t="s">
        <v>42</v>
      </c>
      <c r="H32" s="14" t="s">
        <v>192</v>
      </c>
      <c r="I32" s="14" t="s">
        <v>96</v>
      </c>
      <c r="J32" s="15" t="s">
        <v>13</v>
      </c>
      <c r="K32" s="15" t="s">
        <v>42</v>
      </c>
    </row>
    <row r="33" customFormat="false" ht="91" hidden="false" customHeight="false" outlineLevel="0" collapsed="false">
      <c r="A33" s="13" t="s">
        <v>193</v>
      </c>
      <c r="B33" s="14" t="s">
        <v>188</v>
      </c>
      <c r="C33" s="15" t="s">
        <v>40</v>
      </c>
      <c r="D33" s="14" t="s">
        <v>194</v>
      </c>
      <c r="E33" s="14" t="s">
        <v>190</v>
      </c>
      <c r="F33" s="14" t="s">
        <v>195</v>
      </c>
      <c r="G33" s="14" t="s">
        <v>196</v>
      </c>
      <c r="H33" s="14" t="s">
        <v>197</v>
      </c>
      <c r="I33" s="14" t="s">
        <v>198</v>
      </c>
      <c r="J33" s="15" t="s">
        <v>13</v>
      </c>
      <c r="K33" s="15" t="s">
        <v>42</v>
      </c>
    </row>
    <row r="34" customFormat="false" ht="91" hidden="false" customHeight="false" outlineLevel="0" collapsed="false">
      <c r="A34" s="13" t="s">
        <v>199</v>
      </c>
      <c r="B34" s="14" t="s">
        <v>188</v>
      </c>
      <c r="C34" s="15" t="s">
        <v>40</v>
      </c>
      <c r="D34" s="14" t="s">
        <v>200</v>
      </c>
      <c r="E34" s="14" t="s">
        <v>190</v>
      </c>
      <c r="F34" s="14" t="s">
        <v>195</v>
      </c>
      <c r="G34" s="14" t="s">
        <v>201</v>
      </c>
      <c r="H34" s="14" t="s">
        <v>197</v>
      </c>
      <c r="I34" s="14" t="s">
        <v>198</v>
      </c>
      <c r="J34" s="15" t="s">
        <v>13</v>
      </c>
      <c r="K34" s="15" t="s">
        <v>42</v>
      </c>
    </row>
    <row r="35" customFormat="false" ht="91" hidden="false" customHeight="false" outlineLevel="0" collapsed="false">
      <c r="A35" s="13" t="s">
        <v>202</v>
      </c>
      <c r="B35" s="14" t="s">
        <v>188</v>
      </c>
      <c r="C35" s="15" t="s">
        <v>40</v>
      </c>
      <c r="D35" s="14" t="s">
        <v>203</v>
      </c>
      <c r="E35" s="14" t="s">
        <v>190</v>
      </c>
      <c r="F35" s="14" t="s">
        <v>195</v>
      </c>
      <c r="G35" s="14" t="s">
        <v>204</v>
      </c>
      <c r="H35" s="14" t="s">
        <v>197</v>
      </c>
      <c r="I35" s="14" t="s">
        <v>198</v>
      </c>
      <c r="J35" s="15" t="s">
        <v>13</v>
      </c>
      <c r="K35" s="15" t="s">
        <v>42</v>
      </c>
    </row>
    <row r="36" customFormat="false" ht="91" hidden="false" customHeight="false" outlineLevel="0" collapsed="false">
      <c r="A36" s="13" t="s">
        <v>205</v>
      </c>
      <c r="B36" s="14" t="s">
        <v>188</v>
      </c>
      <c r="C36" s="15" t="s">
        <v>40</v>
      </c>
      <c r="D36" s="14" t="s">
        <v>206</v>
      </c>
      <c r="E36" s="14" t="s">
        <v>190</v>
      </c>
      <c r="F36" s="14" t="s">
        <v>195</v>
      </c>
      <c r="G36" s="14" t="s">
        <v>207</v>
      </c>
      <c r="H36" s="14" t="s">
        <v>208</v>
      </c>
      <c r="I36" s="14" t="s">
        <v>209</v>
      </c>
      <c r="J36" s="15" t="s">
        <v>14</v>
      </c>
      <c r="K36" s="15" t="s">
        <v>210</v>
      </c>
    </row>
    <row r="37" customFormat="false" ht="91" hidden="false" customHeight="false" outlineLevel="0" collapsed="false">
      <c r="A37" s="13" t="s">
        <v>211</v>
      </c>
      <c r="B37" s="14" t="s">
        <v>188</v>
      </c>
      <c r="C37" s="15" t="s">
        <v>40</v>
      </c>
      <c r="D37" s="14" t="s">
        <v>212</v>
      </c>
      <c r="E37" s="14" t="s">
        <v>190</v>
      </c>
      <c r="F37" s="14" t="s">
        <v>195</v>
      </c>
      <c r="G37" s="14" t="s">
        <v>213</v>
      </c>
      <c r="H37" s="14" t="s">
        <v>197</v>
      </c>
      <c r="I37" s="14" t="s">
        <v>198</v>
      </c>
      <c r="J37" s="15" t="s">
        <v>13</v>
      </c>
      <c r="K37" s="15" t="s">
        <v>42</v>
      </c>
    </row>
    <row r="38" customFormat="false" ht="91" hidden="false" customHeight="false" outlineLevel="0" collapsed="false">
      <c r="A38" s="13" t="s">
        <v>214</v>
      </c>
      <c r="B38" s="14" t="s">
        <v>188</v>
      </c>
      <c r="C38" s="15" t="s">
        <v>40</v>
      </c>
      <c r="D38" s="14" t="s">
        <v>215</v>
      </c>
      <c r="E38" s="14" t="s">
        <v>190</v>
      </c>
      <c r="F38" s="14" t="s">
        <v>195</v>
      </c>
      <c r="G38" s="14" t="s">
        <v>216</v>
      </c>
      <c r="H38" s="14" t="s">
        <v>217</v>
      </c>
      <c r="I38" s="14" t="s">
        <v>218</v>
      </c>
      <c r="J38" s="15" t="s">
        <v>13</v>
      </c>
      <c r="K38" s="15" t="s">
        <v>42</v>
      </c>
    </row>
    <row r="39" customFormat="false" ht="91" hidden="false" customHeight="false" outlineLevel="0" collapsed="false">
      <c r="A39" s="13" t="s">
        <v>219</v>
      </c>
      <c r="B39" s="14" t="s">
        <v>188</v>
      </c>
      <c r="C39" s="15" t="s">
        <v>40</v>
      </c>
      <c r="D39" s="14" t="s">
        <v>220</v>
      </c>
      <c r="E39" s="14" t="s">
        <v>190</v>
      </c>
      <c r="F39" s="14" t="s">
        <v>195</v>
      </c>
      <c r="G39" s="14" t="s">
        <v>221</v>
      </c>
      <c r="H39" s="14" t="s">
        <v>197</v>
      </c>
      <c r="I39" s="14" t="s">
        <v>198</v>
      </c>
      <c r="J39" s="15" t="s">
        <v>13</v>
      </c>
      <c r="K39" s="15" t="s">
        <v>42</v>
      </c>
    </row>
    <row r="40" customFormat="false" ht="91" hidden="false" customHeight="false" outlineLevel="0" collapsed="false">
      <c r="A40" s="13" t="s">
        <v>222</v>
      </c>
      <c r="B40" s="14" t="s">
        <v>188</v>
      </c>
      <c r="C40" s="15" t="s">
        <v>40</v>
      </c>
      <c r="D40" s="14" t="s">
        <v>223</v>
      </c>
      <c r="E40" s="14" t="s">
        <v>190</v>
      </c>
      <c r="F40" s="14" t="s">
        <v>195</v>
      </c>
      <c r="G40" s="14" t="s">
        <v>224</v>
      </c>
      <c r="H40" s="14" t="s">
        <v>225</v>
      </c>
      <c r="I40" s="14" t="s">
        <v>218</v>
      </c>
      <c r="J40" s="15" t="s">
        <v>14</v>
      </c>
      <c r="K40" s="15" t="s">
        <v>226</v>
      </c>
    </row>
    <row r="41" customFormat="false" ht="91" hidden="false" customHeight="false" outlineLevel="0" collapsed="false">
      <c r="A41" s="13" t="s">
        <v>227</v>
      </c>
      <c r="B41" s="14" t="s">
        <v>188</v>
      </c>
      <c r="C41" s="15" t="s">
        <v>40</v>
      </c>
      <c r="D41" s="14" t="s">
        <v>228</v>
      </c>
      <c r="E41" s="14" t="s">
        <v>190</v>
      </c>
      <c r="F41" s="14" t="s">
        <v>195</v>
      </c>
      <c r="G41" s="14" t="s">
        <v>229</v>
      </c>
      <c r="H41" s="14" t="s">
        <v>230</v>
      </c>
      <c r="I41" s="14" t="s">
        <v>231</v>
      </c>
      <c r="J41" s="15" t="s">
        <v>14</v>
      </c>
      <c r="K41" s="15" t="s">
        <v>226</v>
      </c>
    </row>
    <row r="42" customFormat="false" ht="91" hidden="false" customHeight="false" outlineLevel="0" collapsed="false">
      <c r="A42" s="13" t="s">
        <v>232</v>
      </c>
      <c r="B42" s="14" t="s">
        <v>188</v>
      </c>
      <c r="C42" s="15" t="s">
        <v>40</v>
      </c>
      <c r="D42" s="14" t="s">
        <v>233</v>
      </c>
      <c r="E42" s="14" t="s">
        <v>190</v>
      </c>
      <c r="F42" s="14" t="s">
        <v>195</v>
      </c>
      <c r="G42" s="14" t="s">
        <v>234</v>
      </c>
      <c r="H42" s="14" t="s">
        <v>197</v>
      </c>
      <c r="I42" s="14" t="s">
        <v>218</v>
      </c>
      <c r="J42" s="15" t="s">
        <v>14</v>
      </c>
      <c r="K42" s="15" t="s">
        <v>210</v>
      </c>
    </row>
    <row r="43" customFormat="false" ht="31.3" hidden="false" customHeight="false" outlineLevel="0" collapsed="false">
      <c r="A43" s="13" t="s">
        <v>235</v>
      </c>
      <c r="B43" s="14" t="s">
        <v>188</v>
      </c>
      <c r="C43" s="15" t="s">
        <v>49</v>
      </c>
      <c r="D43" s="14" t="s">
        <v>236</v>
      </c>
      <c r="E43" s="14" t="s">
        <v>42</v>
      </c>
      <c r="F43" s="14" t="s">
        <v>195</v>
      </c>
      <c r="G43" s="14" t="s">
        <v>237</v>
      </c>
      <c r="H43" s="14" t="s">
        <v>238</v>
      </c>
      <c r="I43" s="14" t="s">
        <v>239</v>
      </c>
      <c r="J43" s="15" t="s">
        <v>13</v>
      </c>
      <c r="K43" s="15" t="s">
        <v>42</v>
      </c>
    </row>
    <row r="44" customFormat="false" ht="91" hidden="false" customHeight="false" outlineLevel="0" collapsed="false">
      <c r="A44" s="13" t="s">
        <v>240</v>
      </c>
      <c r="B44" s="14" t="s">
        <v>188</v>
      </c>
      <c r="C44" s="15" t="s">
        <v>49</v>
      </c>
      <c r="D44" s="14" t="s">
        <v>241</v>
      </c>
      <c r="E44" s="14" t="s">
        <v>190</v>
      </c>
      <c r="F44" s="14" t="s">
        <v>195</v>
      </c>
      <c r="G44" s="14" t="s">
        <v>242</v>
      </c>
      <c r="H44" s="14" t="s">
        <v>238</v>
      </c>
      <c r="I44" s="14" t="s">
        <v>239</v>
      </c>
      <c r="J44" s="15" t="s">
        <v>13</v>
      </c>
      <c r="K44" s="15" t="s">
        <v>42</v>
      </c>
    </row>
    <row r="45" customFormat="false" ht="31.3" hidden="false" customHeight="false" outlineLevel="0" collapsed="false">
      <c r="A45" s="13" t="s">
        <v>243</v>
      </c>
      <c r="B45" s="14" t="s">
        <v>188</v>
      </c>
      <c r="C45" s="15" t="s">
        <v>49</v>
      </c>
      <c r="D45" s="14" t="s">
        <v>244</v>
      </c>
      <c r="E45" s="14" t="s">
        <v>42</v>
      </c>
      <c r="F45" s="14" t="s">
        <v>195</v>
      </c>
      <c r="G45" s="14" t="s">
        <v>245</v>
      </c>
      <c r="H45" s="14" t="s">
        <v>84</v>
      </c>
      <c r="I45" s="14" t="s">
        <v>128</v>
      </c>
      <c r="J45" s="15" t="s">
        <v>14</v>
      </c>
      <c r="K45" s="15" t="s">
        <v>246</v>
      </c>
    </row>
    <row r="46" customFormat="false" ht="31.3" hidden="false" customHeight="false" outlineLevel="0" collapsed="false">
      <c r="A46" s="13" t="s">
        <v>247</v>
      </c>
      <c r="B46" s="14" t="s">
        <v>188</v>
      </c>
      <c r="C46" s="15" t="s">
        <v>49</v>
      </c>
      <c r="D46" s="14" t="s">
        <v>248</v>
      </c>
      <c r="E46" s="14" t="s">
        <v>42</v>
      </c>
      <c r="F46" s="14" t="s">
        <v>195</v>
      </c>
      <c r="G46" s="14" t="s">
        <v>249</v>
      </c>
      <c r="H46" s="14" t="s">
        <v>84</v>
      </c>
      <c r="I46" s="14" t="s">
        <v>128</v>
      </c>
      <c r="J46" s="15" t="s">
        <v>14</v>
      </c>
      <c r="K46" s="15" t="s">
        <v>246</v>
      </c>
    </row>
    <row r="47" customFormat="false" ht="76.1" hidden="false" customHeight="false" outlineLevel="0" collapsed="false">
      <c r="A47" s="10" t="s">
        <v>250</v>
      </c>
      <c r="B47" s="11" t="s">
        <v>251</v>
      </c>
      <c r="C47" s="12" t="s">
        <v>40</v>
      </c>
      <c r="D47" s="11" t="s">
        <v>252</v>
      </c>
      <c r="E47" s="11" t="s">
        <v>253</v>
      </c>
      <c r="F47" s="11" t="s">
        <v>254</v>
      </c>
      <c r="G47" s="11" t="s">
        <v>255</v>
      </c>
      <c r="H47" s="11" t="s">
        <v>256</v>
      </c>
      <c r="I47" s="11" t="s">
        <v>96</v>
      </c>
      <c r="J47" s="12" t="s">
        <v>13</v>
      </c>
      <c r="K47" s="12" t="s">
        <v>42</v>
      </c>
    </row>
    <row r="48" customFormat="false" ht="61.15" hidden="false" customHeight="false" outlineLevel="0" collapsed="false">
      <c r="A48" s="10" t="s">
        <v>257</v>
      </c>
      <c r="B48" s="11" t="s">
        <v>251</v>
      </c>
      <c r="C48" s="12" t="s">
        <v>40</v>
      </c>
      <c r="D48" s="11" t="s">
        <v>258</v>
      </c>
      <c r="E48" s="11" t="s">
        <v>253</v>
      </c>
      <c r="F48" s="11" t="s">
        <v>259</v>
      </c>
      <c r="G48" s="11" t="s">
        <v>255</v>
      </c>
      <c r="H48" s="11" t="s">
        <v>260</v>
      </c>
      <c r="I48" s="11" t="s">
        <v>96</v>
      </c>
      <c r="J48" s="12" t="s">
        <v>13</v>
      </c>
      <c r="K48" s="12" t="s">
        <v>42</v>
      </c>
    </row>
    <row r="49" customFormat="false" ht="61.15" hidden="false" customHeight="false" outlineLevel="0" collapsed="false">
      <c r="A49" s="10" t="s">
        <v>261</v>
      </c>
      <c r="B49" s="11" t="s">
        <v>251</v>
      </c>
      <c r="C49" s="12" t="s">
        <v>40</v>
      </c>
      <c r="D49" s="11" t="s">
        <v>262</v>
      </c>
      <c r="E49" s="11" t="s">
        <v>253</v>
      </c>
      <c r="F49" s="11" t="s">
        <v>263</v>
      </c>
      <c r="G49" s="11" t="s">
        <v>255</v>
      </c>
      <c r="H49" s="11" t="s">
        <v>264</v>
      </c>
      <c r="I49" s="11" t="s">
        <v>116</v>
      </c>
      <c r="J49" s="12" t="s">
        <v>14</v>
      </c>
      <c r="K49" s="12" t="s">
        <v>117</v>
      </c>
    </row>
    <row r="50" customFormat="false" ht="61.15" hidden="false" customHeight="false" outlineLevel="0" collapsed="false">
      <c r="A50" s="10" t="s">
        <v>265</v>
      </c>
      <c r="B50" s="11" t="s">
        <v>251</v>
      </c>
      <c r="C50" s="12" t="s">
        <v>40</v>
      </c>
      <c r="D50" s="11" t="s">
        <v>266</v>
      </c>
      <c r="E50" s="11" t="s">
        <v>253</v>
      </c>
      <c r="F50" s="11" t="s">
        <v>267</v>
      </c>
      <c r="G50" s="11" t="s">
        <v>255</v>
      </c>
      <c r="H50" s="11" t="s">
        <v>268</v>
      </c>
      <c r="I50" s="11" t="s">
        <v>123</v>
      </c>
      <c r="J50" s="12" t="s">
        <v>14</v>
      </c>
      <c r="K50" s="12" t="s">
        <v>124</v>
      </c>
    </row>
    <row r="51" customFormat="false" ht="16.4" hidden="false" customHeight="false" outlineLevel="0" collapsed="false">
      <c r="A51" s="10" t="s">
        <v>269</v>
      </c>
      <c r="B51" s="11" t="s">
        <v>251</v>
      </c>
      <c r="C51" s="12" t="s">
        <v>49</v>
      </c>
      <c r="D51" s="11" t="s">
        <v>270</v>
      </c>
      <c r="E51" s="11" t="s">
        <v>42</v>
      </c>
      <c r="F51" s="11" t="s">
        <v>271</v>
      </c>
      <c r="G51" s="11" t="s">
        <v>272</v>
      </c>
      <c r="H51" s="11" t="s">
        <v>53</v>
      </c>
      <c r="I51" s="11" t="s">
        <v>53</v>
      </c>
      <c r="J51" s="12" t="s">
        <v>13</v>
      </c>
      <c r="K51" s="12" t="s">
        <v>42</v>
      </c>
    </row>
    <row r="52" customFormat="false" ht="16.4" hidden="false" customHeight="false" outlineLevel="0" collapsed="false">
      <c r="A52" s="10" t="s">
        <v>273</v>
      </c>
      <c r="B52" s="11" t="s">
        <v>251</v>
      </c>
      <c r="C52" s="12" t="s">
        <v>49</v>
      </c>
      <c r="D52" s="11" t="s">
        <v>274</v>
      </c>
      <c r="E52" s="11" t="s">
        <v>42</v>
      </c>
      <c r="F52" s="11" t="s">
        <v>275</v>
      </c>
      <c r="G52" s="11" t="s">
        <v>276</v>
      </c>
      <c r="H52" s="11" t="s">
        <v>53</v>
      </c>
      <c r="I52" s="11" t="s">
        <v>53</v>
      </c>
      <c r="J52" s="12" t="s">
        <v>13</v>
      </c>
      <c r="K52" s="12" t="s">
        <v>42</v>
      </c>
    </row>
    <row r="53" customFormat="false" ht="16.4" hidden="false" customHeight="false" outlineLevel="0" collapsed="false">
      <c r="A53" s="10" t="s">
        <v>277</v>
      </c>
      <c r="B53" s="11" t="s">
        <v>251</v>
      </c>
      <c r="C53" s="12" t="s">
        <v>49</v>
      </c>
      <c r="D53" s="11" t="s">
        <v>278</v>
      </c>
      <c r="E53" s="11" t="s">
        <v>42</v>
      </c>
      <c r="F53" s="11" t="s">
        <v>279</v>
      </c>
      <c r="G53" s="11" t="s">
        <v>280</v>
      </c>
      <c r="H53" s="11" t="s">
        <v>53</v>
      </c>
      <c r="I53" s="11" t="s">
        <v>53</v>
      </c>
      <c r="J53" s="12" t="s">
        <v>13</v>
      </c>
      <c r="K53" s="12" t="s">
        <v>42</v>
      </c>
    </row>
    <row r="54" customFormat="false" ht="61.15" hidden="false" customHeight="false" outlineLevel="0" collapsed="false">
      <c r="A54" s="10" t="s">
        <v>281</v>
      </c>
      <c r="B54" s="11" t="s">
        <v>251</v>
      </c>
      <c r="C54" s="12" t="s">
        <v>49</v>
      </c>
      <c r="D54" s="11" t="s">
        <v>182</v>
      </c>
      <c r="E54" s="11" t="s">
        <v>253</v>
      </c>
      <c r="F54" s="11" t="s">
        <v>282</v>
      </c>
      <c r="G54" s="11" t="s">
        <v>255</v>
      </c>
      <c r="H54" s="11" t="s">
        <v>184</v>
      </c>
      <c r="I54" s="11" t="s">
        <v>185</v>
      </c>
      <c r="J54" s="12" t="s">
        <v>14</v>
      </c>
      <c r="K54" s="12" t="s">
        <v>186</v>
      </c>
    </row>
    <row r="55" customFormat="false" ht="91" hidden="false" customHeight="false" outlineLevel="0" collapsed="false">
      <c r="A55" s="13" t="s">
        <v>283</v>
      </c>
      <c r="B55" s="14" t="s">
        <v>284</v>
      </c>
      <c r="C55" s="15" t="s">
        <v>40</v>
      </c>
      <c r="D55" s="14" t="s">
        <v>285</v>
      </c>
      <c r="E55" s="14" t="s">
        <v>286</v>
      </c>
      <c r="F55" s="14" t="s">
        <v>287</v>
      </c>
      <c r="G55" s="14" t="s">
        <v>288</v>
      </c>
      <c r="H55" s="14" t="s">
        <v>289</v>
      </c>
      <c r="I55" s="14" t="s">
        <v>96</v>
      </c>
      <c r="J55" s="15" t="s">
        <v>13</v>
      </c>
      <c r="K55" s="15" t="s">
        <v>42</v>
      </c>
    </row>
    <row r="56" customFormat="false" ht="105.95" hidden="false" customHeight="false" outlineLevel="0" collapsed="false">
      <c r="A56" s="13" t="s">
        <v>290</v>
      </c>
      <c r="B56" s="14" t="s">
        <v>284</v>
      </c>
      <c r="C56" s="15" t="s">
        <v>40</v>
      </c>
      <c r="D56" s="14" t="s">
        <v>291</v>
      </c>
      <c r="E56" s="14" t="s">
        <v>253</v>
      </c>
      <c r="F56" s="14" t="s">
        <v>292</v>
      </c>
      <c r="G56" s="14" t="s">
        <v>288</v>
      </c>
      <c r="H56" s="14" t="s">
        <v>289</v>
      </c>
      <c r="I56" s="14" t="s">
        <v>96</v>
      </c>
      <c r="J56" s="15" t="s">
        <v>13</v>
      </c>
      <c r="K56" s="15" t="s">
        <v>42</v>
      </c>
    </row>
    <row r="57" customFormat="false" ht="91" hidden="false" customHeight="false" outlineLevel="0" collapsed="false">
      <c r="A57" s="13" t="s">
        <v>293</v>
      </c>
      <c r="B57" s="14" t="s">
        <v>284</v>
      </c>
      <c r="C57" s="15" t="s">
        <v>40</v>
      </c>
      <c r="D57" s="14" t="s">
        <v>294</v>
      </c>
      <c r="E57" s="14" t="s">
        <v>286</v>
      </c>
      <c r="F57" s="14" t="s">
        <v>287</v>
      </c>
      <c r="G57" s="14" t="s">
        <v>295</v>
      </c>
      <c r="H57" s="14" t="s">
        <v>296</v>
      </c>
      <c r="I57" s="14" t="s">
        <v>297</v>
      </c>
      <c r="J57" s="15" t="s">
        <v>14</v>
      </c>
      <c r="K57" s="15" t="s">
        <v>298</v>
      </c>
    </row>
    <row r="58" customFormat="false" ht="76.1" hidden="false" customHeight="false" outlineLevel="0" collapsed="false">
      <c r="A58" s="13" t="s">
        <v>299</v>
      </c>
      <c r="B58" s="14" t="s">
        <v>284</v>
      </c>
      <c r="C58" s="15" t="s">
        <v>49</v>
      </c>
      <c r="D58" s="14" t="s">
        <v>300</v>
      </c>
      <c r="E58" s="14" t="s">
        <v>253</v>
      </c>
      <c r="F58" s="14" t="s">
        <v>301</v>
      </c>
      <c r="G58" s="14" t="s">
        <v>288</v>
      </c>
      <c r="H58" s="14" t="s">
        <v>302</v>
      </c>
      <c r="I58" s="14" t="s">
        <v>303</v>
      </c>
      <c r="J58" s="15" t="s">
        <v>13</v>
      </c>
      <c r="K58" s="15" t="s">
        <v>42</v>
      </c>
    </row>
    <row r="59" customFormat="false" ht="76.1" hidden="false" customHeight="false" outlineLevel="0" collapsed="false">
      <c r="A59" s="13" t="s">
        <v>304</v>
      </c>
      <c r="B59" s="14" t="s">
        <v>284</v>
      </c>
      <c r="C59" s="15" t="s">
        <v>49</v>
      </c>
      <c r="D59" s="14" t="s">
        <v>305</v>
      </c>
      <c r="E59" s="14" t="s">
        <v>253</v>
      </c>
      <c r="F59" s="14" t="s">
        <v>306</v>
      </c>
      <c r="G59" s="14" t="s">
        <v>288</v>
      </c>
      <c r="H59" s="14" t="s">
        <v>302</v>
      </c>
      <c r="I59" s="14" t="s">
        <v>303</v>
      </c>
      <c r="J59" s="15" t="s">
        <v>13</v>
      </c>
      <c r="K59" s="15" t="s">
        <v>42</v>
      </c>
    </row>
    <row r="60" customFormat="false" ht="91" hidden="false" customHeight="false" outlineLevel="0" collapsed="false">
      <c r="A60" s="13" t="s">
        <v>307</v>
      </c>
      <c r="B60" s="14" t="s">
        <v>284</v>
      </c>
      <c r="C60" s="15" t="s">
        <v>49</v>
      </c>
      <c r="D60" s="14" t="s">
        <v>308</v>
      </c>
      <c r="E60" s="14" t="s">
        <v>253</v>
      </c>
      <c r="F60" s="14" t="s">
        <v>309</v>
      </c>
      <c r="G60" s="14" t="s">
        <v>288</v>
      </c>
      <c r="H60" s="14" t="s">
        <v>302</v>
      </c>
      <c r="I60" s="14" t="s">
        <v>303</v>
      </c>
      <c r="J60" s="15" t="s">
        <v>13</v>
      </c>
      <c r="K60" s="15" t="s">
        <v>42</v>
      </c>
    </row>
    <row r="61" customFormat="false" ht="91" hidden="false" customHeight="false" outlineLevel="0" collapsed="false">
      <c r="A61" s="13" t="s">
        <v>310</v>
      </c>
      <c r="B61" s="14" t="s">
        <v>284</v>
      </c>
      <c r="C61" s="15" t="s">
        <v>49</v>
      </c>
      <c r="D61" s="14" t="s">
        <v>311</v>
      </c>
      <c r="E61" s="14" t="s">
        <v>286</v>
      </c>
      <c r="F61" s="14" t="s">
        <v>287</v>
      </c>
      <c r="G61" s="14" t="s">
        <v>312</v>
      </c>
      <c r="H61" s="14" t="s">
        <v>313</v>
      </c>
      <c r="I61" s="14" t="s">
        <v>84</v>
      </c>
      <c r="J61" s="15" t="s">
        <v>13</v>
      </c>
      <c r="K61" s="15" t="s">
        <v>42</v>
      </c>
    </row>
    <row r="62" customFormat="false" ht="61.15" hidden="false" customHeight="false" outlineLevel="0" collapsed="false">
      <c r="A62" s="13" t="s">
        <v>314</v>
      </c>
      <c r="B62" s="14" t="s">
        <v>284</v>
      </c>
      <c r="C62" s="15" t="s">
        <v>49</v>
      </c>
      <c r="D62" s="14" t="s">
        <v>315</v>
      </c>
      <c r="E62" s="14" t="s">
        <v>316</v>
      </c>
      <c r="F62" s="14" t="s">
        <v>317</v>
      </c>
      <c r="G62" s="14" t="s">
        <v>288</v>
      </c>
      <c r="H62" s="14" t="s">
        <v>53</v>
      </c>
      <c r="I62" s="14" t="s">
        <v>318</v>
      </c>
      <c r="J62" s="15" t="s">
        <v>14</v>
      </c>
      <c r="K62" s="15" t="s">
        <v>319</v>
      </c>
    </row>
    <row r="63" customFormat="false" ht="91" hidden="false" customHeight="false" outlineLevel="0" collapsed="false">
      <c r="A63" s="13" t="s">
        <v>320</v>
      </c>
      <c r="B63" s="14" t="s">
        <v>284</v>
      </c>
      <c r="C63" s="15" t="s">
        <v>49</v>
      </c>
      <c r="D63" s="14" t="s">
        <v>160</v>
      </c>
      <c r="E63" s="14" t="s">
        <v>286</v>
      </c>
      <c r="F63" s="14" t="s">
        <v>287</v>
      </c>
      <c r="G63" s="14" t="s">
        <v>321</v>
      </c>
      <c r="H63" s="14" t="s">
        <v>313</v>
      </c>
      <c r="I63" s="14" t="s">
        <v>322</v>
      </c>
      <c r="J63" s="15" t="s">
        <v>14</v>
      </c>
      <c r="K63" s="15" t="s">
        <v>163</v>
      </c>
    </row>
    <row r="64" customFormat="false" ht="91" hidden="false" customHeight="false" outlineLevel="0" collapsed="false">
      <c r="A64" s="13" t="s">
        <v>323</v>
      </c>
      <c r="B64" s="14" t="s">
        <v>284</v>
      </c>
      <c r="C64" s="15" t="s">
        <v>49</v>
      </c>
      <c r="D64" s="14" t="s">
        <v>140</v>
      </c>
      <c r="E64" s="14" t="s">
        <v>286</v>
      </c>
      <c r="F64" s="14" t="s">
        <v>287</v>
      </c>
      <c r="G64" s="14" t="s">
        <v>324</v>
      </c>
      <c r="H64" s="14" t="s">
        <v>313</v>
      </c>
      <c r="I64" s="14" t="s">
        <v>325</v>
      </c>
      <c r="J64" s="15" t="s">
        <v>14</v>
      </c>
      <c r="K64" s="15" t="s">
        <v>143</v>
      </c>
    </row>
    <row r="65" customFormat="false" ht="91" hidden="false" customHeight="false" outlineLevel="0" collapsed="false">
      <c r="A65" s="13" t="s">
        <v>326</v>
      </c>
      <c r="B65" s="14" t="s">
        <v>284</v>
      </c>
      <c r="C65" s="15" t="s">
        <v>49</v>
      </c>
      <c r="D65" s="14" t="s">
        <v>165</v>
      </c>
      <c r="E65" s="14" t="s">
        <v>286</v>
      </c>
      <c r="F65" s="14" t="s">
        <v>287</v>
      </c>
      <c r="G65" s="14" t="s">
        <v>327</v>
      </c>
      <c r="H65" s="14" t="s">
        <v>313</v>
      </c>
      <c r="I65" s="14" t="s">
        <v>328</v>
      </c>
      <c r="J65" s="15" t="s">
        <v>14</v>
      </c>
      <c r="K65" s="15" t="s">
        <v>168</v>
      </c>
    </row>
    <row r="66" customFormat="false" ht="91" hidden="false" customHeight="false" outlineLevel="0" collapsed="false">
      <c r="A66" s="13" t="s">
        <v>329</v>
      </c>
      <c r="B66" s="14" t="s">
        <v>284</v>
      </c>
      <c r="C66" s="15" t="s">
        <v>49</v>
      </c>
      <c r="D66" s="14" t="s">
        <v>330</v>
      </c>
      <c r="E66" s="14" t="s">
        <v>286</v>
      </c>
      <c r="F66" s="14" t="s">
        <v>331</v>
      </c>
      <c r="G66" s="14" t="s">
        <v>332</v>
      </c>
      <c r="H66" s="14" t="s">
        <v>333</v>
      </c>
      <c r="I66" s="14" t="s">
        <v>334</v>
      </c>
      <c r="J66" s="15" t="s">
        <v>14</v>
      </c>
      <c r="K66" s="15" t="s">
        <v>335</v>
      </c>
    </row>
    <row r="67" customFormat="false" ht="91" hidden="false" customHeight="false" outlineLevel="0" collapsed="false">
      <c r="A67" s="13" t="s">
        <v>336</v>
      </c>
      <c r="B67" s="14" t="s">
        <v>284</v>
      </c>
      <c r="C67" s="15" t="s">
        <v>49</v>
      </c>
      <c r="D67" s="14" t="s">
        <v>82</v>
      </c>
      <c r="E67" s="14" t="s">
        <v>286</v>
      </c>
      <c r="F67" s="14" t="s">
        <v>287</v>
      </c>
      <c r="G67" s="14" t="s">
        <v>337</v>
      </c>
      <c r="H67" s="14" t="s">
        <v>313</v>
      </c>
      <c r="I67" s="14" t="s">
        <v>84</v>
      </c>
      <c r="J67" s="15" t="s">
        <v>13</v>
      </c>
      <c r="K67" s="15" t="s">
        <v>42</v>
      </c>
    </row>
    <row r="68" customFormat="false" ht="91" hidden="false" customHeight="false" outlineLevel="0" collapsed="false">
      <c r="A68" s="10" t="s">
        <v>338</v>
      </c>
      <c r="B68" s="11" t="s">
        <v>339</v>
      </c>
      <c r="C68" s="12" t="s">
        <v>40</v>
      </c>
      <c r="D68" s="11" t="s">
        <v>340</v>
      </c>
      <c r="E68" s="11" t="s">
        <v>286</v>
      </c>
      <c r="F68" s="11" t="s">
        <v>341</v>
      </c>
      <c r="G68" s="11" t="s">
        <v>342</v>
      </c>
      <c r="H68" s="11" t="s">
        <v>343</v>
      </c>
      <c r="I68" s="11" t="s">
        <v>96</v>
      </c>
      <c r="J68" s="12" t="s">
        <v>13</v>
      </c>
      <c r="K68" s="12" t="s">
        <v>42</v>
      </c>
    </row>
    <row r="69" customFormat="false" ht="105.95" hidden="false" customHeight="false" outlineLevel="0" collapsed="false">
      <c r="A69" s="10" t="s">
        <v>344</v>
      </c>
      <c r="B69" s="11" t="s">
        <v>339</v>
      </c>
      <c r="C69" s="12" t="s">
        <v>40</v>
      </c>
      <c r="D69" s="11" t="s">
        <v>345</v>
      </c>
      <c r="E69" s="11" t="s">
        <v>253</v>
      </c>
      <c r="F69" s="11" t="s">
        <v>346</v>
      </c>
      <c r="G69" s="11" t="s">
        <v>347</v>
      </c>
      <c r="H69" s="11" t="s">
        <v>348</v>
      </c>
      <c r="I69" s="11" t="s">
        <v>96</v>
      </c>
      <c r="J69" s="12" t="s">
        <v>13</v>
      </c>
      <c r="K69" s="12" t="s">
        <v>42</v>
      </c>
    </row>
    <row r="70" customFormat="false" ht="91" hidden="false" customHeight="false" outlineLevel="0" collapsed="false">
      <c r="A70" s="10" t="s">
        <v>349</v>
      </c>
      <c r="B70" s="11" t="s">
        <v>339</v>
      </c>
      <c r="C70" s="12" t="s">
        <v>40</v>
      </c>
      <c r="D70" s="11" t="s">
        <v>350</v>
      </c>
      <c r="E70" s="11" t="s">
        <v>286</v>
      </c>
      <c r="F70" s="11" t="s">
        <v>341</v>
      </c>
      <c r="G70" s="11" t="s">
        <v>351</v>
      </c>
      <c r="H70" s="11" t="s">
        <v>352</v>
      </c>
      <c r="I70" s="11" t="s">
        <v>353</v>
      </c>
      <c r="J70" s="12" t="s">
        <v>14</v>
      </c>
      <c r="K70" s="12" t="s">
        <v>354</v>
      </c>
    </row>
    <row r="71" customFormat="false" ht="91" hidden="false" customHeight="false" outlineLevel="0" collapsed="false">
      <c r="A71" s="10" t="s">
        <v>355</v>
      </c>
      <c r="B71" s="11" t="s">
        <v>339</v>
      </c>
      <c r="C71" s="12" t="s">
        <v>40</v>
      </c>
      <c r="D71" s="11" t="s">
        <v>71</v>
      </c>
      <c r="E71" s="11" t="s">
        <v>286</v>
      </c>
      <c r="F71" s="11" t="s">
        <v>341</v>
      </c>
      <c r="G71" s="11" t="s">
        <v>72</v>
      </c>
      <c r="H71" s="11" t="s">
        <v>356</v>
      </c>
      <c r="I71" s="11" t="s">
        <v>96</v>
      </c>
      <c r="J71" s="12" t="s">
        <v>13</v>
      </c>
      <c r="K71" s="12" t="s">
        <v>42</v>
      </c>
    </row>
    <row r="72" customFormat="false" ht="76.1" hidden="false" customHeight="false" outlineLevel="0" collapsed="false">
      <c r="A72" s="10" t="s">
        <v>357</v>
      </c>
      <c r="B72" s="11" t="s">
        <v>339</v>
      </c>
      <c r="C72" s="12" t="s">
        <v>49</v>
      </c>
      <c r="D72" s="11" t="s">
        <v>358</v>
      </c>
      <c r="E72" s="11" t="s">
        <v>253</v>
      </c>
      <c r="F72" s="11" t="s">
        <v>359</v>
      </c>
      <c r="G72" s="11" t="s">
        <v>360</v>
      </c>
      <c r="H72" s="11" t="s">
        <v>302</v>
      </c>
      <c r="I72" s="11" t="s">
        <v>303</v>
      </c>
      <c r="J72" s="12" t="s">
        <v>13</v>
      </c>
      <c r="K72" s="12" t="s">
        <v>42</v>
      </c>
    </row>
    <row r="73" customFormat="false" ht="76.1" hidden="false" customHeight="false" outlineLevel="0" collapsed="false">
      <c r="A73" s="10" t="s">
        <v>361</v>
      </c>
      <c r="B73" s="11" t="s">
        <v>339</v>
      </c>
      <c r="C73" s="12" t="s">
        <v>49</v>
      </c>
      <c r="D73" s="11" t="s">
        <v>305</v>
      </c>
      <c r="E73" s="11" t="s">
        <v>253</v>
      </c>
      <c r="F73" s="11" t="s">
        <v>362</v>
      </c>
      <c r="G73" s="11" t="s">
        <v>363</v>
      </c>
      <c r="H73" s="11" t="s">
        <v>302</v>
      </c>
      <c r="I73" s="11" t="s">
        <v>303</v>
      </c>
      <c r="J73" s="12" t="s">
        <v>13</v>
      </c>
      <c r="K73" s="12" t="s">
        <v>42</v>
      </c>
    </row>
    <row r="74" customFormat="false" ht="61.15" hidden="false" customHeight="false" outlineLevel="0" collapsed="false">
      <c r="A74" s="10" t="s">
        <v>364</v>
      </c>
      <c r="B74" s="11" t="s">
        <v>339</v>
      </c>
      <c r="C74" s="12" t="s">
        <v>49</v>
      </c>
      <c r="D74" s="11" t="s">
        <v>365</v>
      </c>
      <c r="E74" s="11" t="s">
        <v>316</v>
      </c>
      <c r="F74" s="11" t="s">
        <v>366</v>
      </c>
      <c r="G74" s="11" t="s">
        <v>367</v>
      </c>
      <c r="H74" s="11" t="s">
        <v>53</v>
      </c>
      <c r="I74" s="11" t="s">
        <v>318</v>
      </c>
      <c r="J74" s="12" t="s">
        <v>14</v>
      </c>
      <c r="K74" s="12" t="s">
        <v>319</v>
      </c>
    </row>
    <row r="75" customFormat="false" ht="91" hidden="false" customHeight="false" outlineLevel="0" collapsed="false">
      <c r="A75" s="10" t="s">
        <v>368</v>
      </c>
      <c r="B75" s="11" t="s">
        <v>339</v>
      </c>
      <c r="C75" s="12" t="s">
        <v>49</v>
      </c>
      <c r="D75" s="11" t="s">
        <v>137</v>
      </c>
      <c r="E75" s="11" t="s">
        <v>286</v>
      </c>
      <c r="F75" s="11" t="s">
        <v>341</v>
      </c>
      <c r="G75" s="11" t="s">
        <v>369</v>
      </c>
      <c r="H75" s="11" t="s">
        <v>313</v>
      </c>
      <c r="I75" s="11" t="s">
        <v>370</v>
      </c>
      <c r="J75" s="12" t="s">
        <v>14</v>
      </c>
      <c r="K75" s="12" t="s">
        <v>153</v>
      </c>
    </row>
    <row r="76" customFormat="false" ht="91" hidden="false" customHeight="false" outlineLevel="0" collapsed="false">
      <c r="A76" s="10" t="s">
        <v>371</v>
      </c>
      <c r="B76" s="11" t="s">
        <v>339</v>
      </c>
      <c r="C76" s="12" t="s">
        <v>49</v>
      </c>
      <c r="D76" s="11" t="s">
        <v>372</v>
      </c>
      <c r="E76" s="11" t="s">
        <v>286</v>
      </c>
      <c r="F76" s="11" t="s">
        <v>341</v>
      </c>
      <c r="G76" s="11" t="s">
        <v>373</v>
      </c>
      <c r="H76" s="11" t="s">
        <v>313</v>
      </c>
      <c r="I76" s="11" t="s">
        <v>374</v>
      </c>
      <c r="J76" s="12" t="s">
        <v>14</v>
      </c>
      <c r="K76" s="12" t="s">
        <v>158</v>
      </c>
    </row>
    <row r="77" customFormat="false" ht="91" hidden="false" customHeight="false" outlineLevel="0" collapsed="false">
      <c r="A77" s="10" t="s">
        <v>375</v>
      </c>
      <c r="B77" s="11" t="s">
        <v>339</v>
      </c>
      <c r="C77" s="12" t="s">
        <v>49</v>
      </c>
      <c r="D77" s="11" t="s">
        <v>140</v>
      </c>
      <c r="E77" s="11" t="s">
        <v>286</v>
      </c>
      <c r="F77" s="11" t="s">
        <v>341</v>
      </c>
      <c r="G77" s="11" t="s">
        <v>376</v>
      </c>
      <c r="H77" s="11" t="s">
        <v>313</v>
      </c>
      <c r="I77" s="11" t="s">
        <v>325</v>
      </c>
      <c r="J77" s="12" t="s">
        <v>14</v>
      </c>
      <c r="K77" s="12" t="s">
        <v>143</v>
      </c>
    </row>
    <row r="78" customFormat="false" ht="91" hidden="false" customHeight="false" outlineLevel="0" collapsed="false">
      <c r="A78" s="10" t="s">
        <v>377</v>
      </c>
      <c r="B78" s="11" t="s">
        <v>339</v>
      </c>
      <c r="C78" s="12" t="s">
        <v>49</v>
      </c>
      <c r="D78" s="11" t="s">
        <v>160</v>
      </c>
      <c r="E78" s="11" t="s">
        <v>286</v>
      </c>
      <c r="F78" s="11" t="s">
        <v>341</v>
      </c>
      <c r="G78" s="11" t="s">
        <v>378</v>
      </c>
      <c r="H78" s="11" t="s">
        <v>313</v>
      </c>
      <c r="I78" s="11" t="s">
        <v>322</v>
      </c>
      <c r="J78" s="12" t="s">
        <v>14</v>
      </c>
      <c r="K78" s="12" t="s">
        <v>163</v>
      </c>
    </row>
    <row r="79" customFormat="false" ht="91" hidden="false" customHeight="false" outlineLevel="0" collapsed="false">
      <c r="A79" s="10" t="s">
        <v>379</v>
      </c>
      <c r="B79" s="11" t="s">
        <v>339</v>
      </c>
      <c r="C79" s="12" t="s">
        <v>49</v>
      </c>
      <c r="D79" s="11" t="s">
        <v>330</v>
      </c>
      <c r="E79" s="11" t="s">
        <v>286</v>
      </c>
      <c r="F79" s="11" t="s">
        <v>380</v>
      </c>
      <c r="G79" s="11" t="s">
        <v>381</v>
      </c>
      <c r="H79" s="11" t="s">
        <v>333</v>
      </c>
      <c r="I79" s="11" t="s">
        <v>382</v>
      </c>
      <c r="J79" s="12" t="s">
        <v>14</v>
      </c>
      <c r="K79" s="12" t="s">
        <v>335</v>
      </c>
    </row>
    <row r="80" customFormat="false" ht="91" hidden="false" customHeight="false" outlineLevel="0" collapsed="false">
      <c r="A80" s="10" t="s">
        <v>383</v>
      </c>
      <c r="B80" s="11" t="s">
        <v>339</v>
      </c>
      <c r="C80" s="12" t="s">
        <v>49</v>
      </c>
      <c r="D80" s="11" t="s">
        <v>82</v>
      </c>
      <c r="E80" s="11" t="s">
        <v>286</v>
      </c>
      <c r="F80" s="11" t="s">
        <v>341</v>
      </c>
      <c r="G80" s="11" t="s">
        <v>384</v>
      </c>
      <c r="H80" s="11" t="s">
        <v>313</v>
      </c>
      <c r="I80" s="11" t="s">
        <v>84</v>
      </c>
      <c r="J80" s="12" t="s">
        <v>13</v>
      </c>
      <c r="K80" s="12" t="s">
        <v>42</v>
      </c>
    </row>
    <row r="81" customFormat="false" ht="91" hidden="false" customHeight="false" outlineLevel="0" collapsed="false">
      <c r="A81" s="13" t="s">
        <v>385</v>
      </c>
      <c r="B81" s="14" t="s">
        <v>386</v>
      </c>
      <c r="C81" s="15" t="s">
        <v>40</v>
      </c>
      <c r="D81" s="14" t="s">
        <v>387</v>
      </c>
      <c r="E81" s="14" t="s">
        <v>286</v>
      </c>
      <c r="F81" s="14" t="s">
        <v>388</v>
      </c>
      <c r="G81" s="14" t="s">
        <v>255</v>
      </c>
      <c r="H81" s="14" t="s">
        <v>389</v>
      </c>
      <c r="I81" s="14" t="s">
        <v>390</v>
      </c>
      <c r="J81" s="15" t="s">
        <v>14</v>
      </c>
      <c r="K81" s="15" t="s">
        <v>391</v>
      </c>
    </row>
    <row r="82" customFormat="false" ht="76.1" hidden="false" customHeight="false" outlineLevel="0" collapsed="false">
      <c r="A82" s="13" t="s">
        <v>392</v>
      </c>
      <c r="B82" s="14" t="s">
        <v>386</v>
      </c>
      <c r="C82" s="15" t="s">
        <v>40</v>
      </c>
      <c r="D82" s="14" t="s">
        <v>393</v>
      </c>
      <c r="E82" s="14" t="s">
        <v>253</v>
      </c>
      <c r="F82" s="14" t="s">
        <v>394</v>
      </c>
      <c r="G82" s="14" t="s">
        <v>255</v>
      </c>
      <c r="H82" s="14" t="s">
        <v>389</v>
      </c>
      <c r="I82" s="14" t="s">
        <v>390</v>
      </c>
      <c r="J82" s="15" t="s">
        <v>14</v>
      </c>
      <c r="K82" s="15" t="s">
        <v>391</v>
      </c>
    </row>
    <row r="83" customFormat="false" ht="61.15" hidden="false" customHeight="false" outlineLevel="0" collapsed="false">
      <c r="A83" s="13" t="s">
        <v>395</v>
      </c>
      <c r="B83" s="14" t="s">
        <v>386</v>
      </c>
      <c r="C83" s="15" t="s">
        <v>49</v>
      </c>
      <c r="D83" s="14" t="s">
        <v>396</v>
      </c>
      <c r="E83" s="14" t="s">
        <v>253</v>
      </c>
      <c r="F83" s="14" t="s">
        <v>397</v>
      </c>
      <c r="G83" s="14" t="s">
        <v>255</v>
      </c>
      <c r="H83" s="14" t="s">
        <v>398</v>
      </c>
      <c r="I83" s="14" t="s">
        <v>399</v>
      </c>
      <c r="J83" s="15" t="s">
        <v>13</v>
      </c>
      <c r="K83" s="15" t="s">
        <v>42</v>
      </c>
    </row>
    <row r="84" customFormat="false" ht="61.15" hidden="false" customHeight="false" outlineLevel="0" collapsed="false">
      <c r="A84" s="13" t="s">
        <v>400</v>
      </c>
      <c r="B84" s="14" t="s">
        <v>386</v>
      </c>
      <c r="C84" s="15" t="s">
        <v>49</v>
      </c>
      <c r="D84" s="14" t="s">
        <v>305</v>
      </c>
      <c r="E84" s="14" t="s">
        <v>253</v>
      </c>
      <c r="F84" s="14" t="s">
        <v>401</v>
      </c>
      <c r="G84" s="14" t="s">
        <v>255</v>
      </c>
      <c r="H84" s="14" t="s">
        <v>398</v>
      </c>
      <c r="I84" s="14" t="s">
        <v>399</v>
      </c>
      <c r="J84" s="15" t="s">
        <v>13</v>
      </c>
      <c r="K84" s="15" t="s">
        <v>42</v>
      </c>
    </row>
    <row r="85" customFormat="false" ht="31.3" hidden="false" customHeight="false" outlineLevel="0" collapsed="false">
      <c r="A85" s="13" t="s">
        <v>402</v>
      </c>
      <c r="B85" s="14" t="s">
        <v>386</v>
      </c>
      <c r="C85" s="15" t="s">
        <v>49</v>
      </c>
      <c r="D85" s="14" t="s">
        <v>403</v>
      </c>
      <c r="E85" s="14" t="s">
        <v>316</v>
      </c>
      <c r="F85" s="14" t="s">
        <v>404</v>
      </c>
      <c r="G85" s="14" t="s">
        <v>272</v>
      </c>
      <c r="H85" s="14" t="s">
        <v>53</v>
      </c>
      <c r="I85" s="14" t="s">
        <v>318</v>
      </c>
      <c r="J85" s="15" t="s">
        <v>14</v>
      </c>
      <c r="K85" s="15" t="s">
        <v>319</v>
      </c>
    </row>
    <row r="86" customFormat="false" ht="61.15" hidden="false" customHeight="false" outlineLevel="0" collapsed="false">
      <c r="A86" s="13" t="s">
        <v>405</v>
      </c>
      <c r="B86" s="14" t="s">
        <v>386</v>
      </c>
      <c r="C86" s="15" t="s">
        <v>49</v>
      </c>
      <c r="D86" s="14" t="s">
        <v>406</v>
      </c>
      <c r="E86" s="14" t="s">
        <v>407</v>
      </c>
      <c r="F86" s="14" t="s">
        <v>408</v>
      </c>
      <c r="G86" s="14" t="s">
        <v>409</v>
      </c>
      <c r="H86" s="14" t="s">
        <v>53</v>
      </c>
      <c r="I86" s="14" t="s">
        <v>318</v>
      </c>
      <c r="J86" s="15" t="s">
        <v>14</v>
      </c>
      <c r="K86" s="15" t="s">
        <v>319</v>
      </c>
    </row>
  </sheetData>
  <autoFilter ref="A1:K86"/>
  <conditionalFormatting sqref="J2:J86">
    <cfRule type="cellIs" priority="2" operator="equal" aboveAverage="0" equalAverage="0" bottom="0" percent="0" rank="0" text="" dxfId="9">
      <formula>"Passed"</formula>
    </cfRule>
    <cfRule type="cellIs" priority="3" operator="equal" aboveAverage="0" equalAverage="0" bottom="0" percent="0" rank="0" text="" dxfId="10">
      <formula>"Failed"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2026-10-04T17:49:35Z</dcterms:created>
  <dc:creator>openpyxl</dc:creator>
  <dc:description/>
  <dc:language>ru-RU</dc:language>
  <cp:lastModifiedBy/>
  <dcterms:modified xsi:type="dcterms:W3CDTF">2026-10-04T20:54:10Z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
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Баги" sheetId="2" state="visible" r:id="rId4"/>
  </sheets>
  <definedNames>
    <definedName function="false" hidden="false" localSheetId="1" name="_xlnm.Print_Titles" vbProcedure="false">Баги!$1:$1</definedName>
    <definedName function="false" hidden="true" localSheetId="1" name="_xlnm._FilterDatabase" vbProcedure="false">Баги!$A$1:$M$25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<sst xmlns="http://schemas.openxmlformats.org/spreadsheetml/2006/main" count="353" uniqueCount="220">
  <si>
    <t xml:space="preserve">Баг-репорт: Restful Booker API</t>
  </si>
  <si>
    <t xml:space="preserve">Тестируемый сервис</t>
  </si>
  <si>
    <t xml:space="preserve">https://restful-booker.herokuapp.com</t>
  </si>
  <si>
    <t xml:space="preserve">Документация API</t>
  </si>
  <si>
    <t xml:space="preserve">https://restful-booker.herokuapp.com/apidoc/index.html</t>
  </si>
  <si>
    <t xml:space="preserve">Инструменты</t>
  </si>
  <si>
    <t xml:space="preserve">Postman, Newman 6.2.2, curl</t>
  </si>
  <si>
    <t xml:space="preserve">Тест-кейсы</t>
  </si>
  <si>
    <t xml:space="preserve">test-cases.xlsx (ID в колонке «Тест-кейсы»)</t>
  </si>
  <si>
    <t xml:space="preserve">Серьёзность</t>
  </si>
  <si>
    <t xml:space="preserve">Количество</t>
  </si>
  <si>
    <t xml:space="preserve">Описание</t>
  </si>
  <si>
    <t xml:space="preserve">Critical</t>
  </si>
  <si>
    <t xml:space="preserve">Потеря или порча данных в основных сценариях, обход ограничений</t>
  </si>
  <si>
    <t xml:space="preserve">Major</t>
  </si>
  <si>
    <t xml:space="preserve">Основная функция работает некорректно: неверная валидация, фильтрация, коды ошибок 500</t>
  </si>
  <si>
    <t xml:space="preserve">Minor</t>
  </si>
  <si>
    <t xml:space="preserve">Отклонение от HTTP-семантики или документации, на данные не влияет</t>
  </si>
  <si>
    <t xml:space="preserve">Итого</t>
  </si>
  <si>
    <t xml:space="preserve">Приоритет</t>
  </si>
  <si>
    <t xml:space="preserve">High</t>
  </si>
  <si>
    <t xml:space="preserve">Исправить в первую очередь</t>
  </si>
  <si>
    <t xml:space="preserve">Medium</t>
  </si>
  <si>
    <t xml:space="preserve">Исправить в ближайшем релизе</t>
  </si>
  <si>
    <t xml:space="preserve">Low</t>
  </si>
  <si>
    <t xml:space="preserve">Исправить при возможности</t>
  </si>
  <si>
    <t xml:space="preserve">ID</t>
  </si>
  <si>
    <t xml:space="preserve">Заголовок</t>
  </si>
  <si>
    <t xml:space="preserve">Эндпоинт</t>
  </si>
  <si>
    <t xml:space="preserve">Окружение</t>
  </si>
  <si>
    <t xml:space="preserve">Предусловия</t>
  </si>
  <si>
    <t xml:space="preserve">Шаги воспроизведения</t>
  </si>
  <si>
    <t xml:space="preserve">Ожидаемый результат</t>
  </si>
  <si>
    <t xml:space="preserve">Фактический результат</t>
  </si>
  <si>
    <t xml:space="preserve">Примечание</t>
  </si>
  <si>
    <t xml:space="preserve">Статус</t>
  </si>
  <si>
    <t xml:space="preserve">BUG-01</t>
  </si>
  <si>
    <t xml:space="preserve">PUT/PATCH /booking/:id: поле bookingid в теле запроса меняет id брони — ответ 405, бронь пропадает по исходному id</t>
  </si>
  <si>
    <t xml:space="preserve">PUT /booking/:id
PATCH /booking/:id</t>
  </si>
  <si>
    <t xml:space="preserve">restful-booker.herokuapp.com (публичный стенд), 04.10.2026; Postman / Newman 6.2.2, curl</t>
  </si>
  <si>
    <t xml:space="preserve">Создана бронь: POST /booking с телом {"firstname": "Ivan", "lastname": "Petrov", "totalprice": 150, "depositpaid": true, "bookingdates": {"checkin": "2031-03-10", "checkout": "2031-03-15"}, "additionalneeds": "Breakfast"}; её id сохранён
Получен токен: POST /auth с {"username": "admin", "password": "password123"}</t>
  </si>
  <si>
    <t xml:space="preserve">1. Отправить PATCH /booking/{id}
   Заголовки: Content-Type: application/json, Accept: application/json, Cookie: token={token}
   Тело: {"bookingid": 1099999}
2. Отправить GET /booking/{id}
3. Отправить GET /booking/1099999</t>
  </si>
  <si>
    <t xml:space="preserve">1. 400 Bad Request (служебное поле нельзя менять) либо 200 OK с игнорированием поля bookingid
2. 200 OK — бронь доступна по исходному id
3. 404 Not Found</t>
  </si>
  <si>
    <t xml:space="preserve">1. 405 Method Not Allowed
2. 404 Not Found — бронь пропала
3. 200 OK — бронь «переехала» на id из тела запроса
Если в bookingid указать id другой существующей брони B, у двух записей окажется один id: GET /booking/{id B} отдаёт бронь B, а исходная бронь недоступна ни по какому id (в поиске GET /booking?firstname=… она отображается с id брони B)</t>
  </si>
  <si>
    <t xml:space="preserve">TC-PUT-12, TC-PATCH-12</t>
  </si>
  <si>
    <t xml:space="preserve">Воспроизводится и для PUT (полное валидное тело + "bookingid"). Уязвимость типа mass assignment: клиент перезаписывает служебное поле. Код 405 вводит в заблуждение — изменение при этом применяется.</t>
  </si>
  <si>
    <t xml:space="preserve">Новый</t>
  </si>
  <si>
    <t xml:space="preserve">BUG-02</t>
  </si>
  <si>
    <t xml:space="preserve">PATCH /booking/:id: при передаче одной из дат вторая дата затирается значением "0NaN-aN-aN"</t>
  </si>
  <si>
    <t xml:space="preserve">PATCH /booking/:id</t>
  </si>
  <si>
    <t xml:space="preserve">1. Отправить PATCH /booking/{id}
   Заголовки: Content-Type: application/json, Accept: application/json, Cookie: token={token}
   Тело: {"bookingdates": {"checkin": "2031-03-12"}}
2. Отправить GET /booking/{id}</t>
  </si>
  <si>
    <t xml:space="preserve">1–2. 200 OK; checkin = "2031-03-12", checkout не изменился — "2031-03-15" (частичное обновление не затрагивает непереданные поля)</t>
  </si>
  <si>
    <t xml:space="preserve">1–2. 200 OK; "bookingdates": {"checkin": "2031-03-12", "checkout": "0NaN-aN-aN"} — испорченное значение сохранено в брони</t>
  </si>
  <si>
    <t xml:space="preserve">TC-PATCH-03</t>
  </si>
  <si>
    <t xml:space="preserve">Аналогично при передаче только checkout: затирается checkin. Сценарий позитивный — перенос даты заезда через документированный PATCH портит данные брони.</t>
  </si>
  <si>
    <t xml:space="preserve">BUG-03</t>
  </si>
  <si>
    <t xml:space="preserve">POST /booking: без обязательных полей или с неверным типом поля сервер отвечает 500 вместо 400</t>
  </si>
  <si>
    <t xml:space="preserve">POST /booking</t>
  </si>
  <si>
    <t xml:space="preserve">—</t>
  </si>
  <si>
    <t xml:space="preserve">1. Отправить POST /booking
   Заголовки: Content-Type: application/json, Accept: application/json
   Тело: {}</t>
  </si>
  <si>
    <t xml:space="preserve">400 Bad Request с описанием ошибки валидации; бронь не создаётся</t>
  </si>
  <si>
    <t xml:space="preserve">500 Internal Server Error, тело «Internal Server Error».
То же для тел: без firstname; без bookingdates; без checkin; "firstname": 123; "firstname": null</t>
  </si>
  <si>
    <t xml:space="preserve">TC-CREATE-08, TC-CREATE-09, TC-CREATE-10, TC-CREATE-11</t>
  </si>
  <si>
    <t xml:space="preserve">PUT с неполным телом корректно отвечает 400 — поведение эндпоинтов несогласованно. 500 сигнализирует о необработанном исключении на сервере.</t>
  </si>
  <si>
    <t xml:space="preserve">BUG-04</t>
  </si>
  <si>
    <t xml:space="preserve">POST/PUT/PATCH /booking: невалидная дата принимается и сохраняется как "0NaN-aN-aN"</t>
  </si>
  <si>
    <t xml:space="preserve">POST /booking
PUT /booking/:id
PATCH /booking/:id</t>
  </si>
  <si>
    <t xml:space="preserve">1. Отправить POST /booking
   Заголовки: Content-Type: application/json, Accept: application/json
   Тело: валидная бронь, но "bookingdates": {"checkin": "not-a-date", "checkout": "2031-03-15"}
2. Отправить GET /booking/{bookingid из ответа}</t>
  </si>
  <si>
    <t xml:space="preserve">1. 400 Bad Request (в документации формат даты CCYY-MM-DD); бронь не создаётся</t>
  </si>
  <si>
    <t xml:space="preserve">1–2. 200 OK; бронь создана с "checkin": "0NaN-aN-aN"</t>
  </si>
  <si>
    <t xml:space="preserve">TC-CREATE-17, TC-PUT-11</t>
  </si>
  <si>
    <t xml:space="preserve">Так же ведут себя PUT и PATCH; значение "2031-13-45" тоже превращается в "0NaN-aN-aN".</t>
  </si>
  <si>
    <t xml:space="preserve">BUG-05</t>
  </si>
  <si>
    <t xml:space="preserve">POST /booking: несуществующая дата или дата в другом формате молча заменяется другой датой</t>
  </si>
  <si>
    <t xml:space="preserve">1. Отправить POST /booking
   Заголовки: Content-Type: application/json, Accept: application/json
   Тело: валидная бронь, но "bookingdates": {"checkin": "2031-02-30", "checkout": "2031-03-15"}</t>
  </si>
  <si>
    <t xml:space="preserve">400 Bad Request — даты 30 февраля не существует; бронь не создаётся</t>
  </si>
  <si>
    <t xml:space="preserve">200 OK; бронь создана с "checkin": "2031-03-02"</t>
  </si>
  <si>
    <t xml:space="preserve">TC-CREATE-18</t>
  </si>
  <si>
    <t xml:space="preserve">Дата "01.11.2026" (ДД.ММ.ГГГГ) сохраняется как "2026-01-11" — день и месяц переставлены. Пользователь получает бронь не на те даты без какой-либо ошибки.</t>
  </si>
  <si>
    <t xml:space="preserve">BUG-06</t>
  </si>
  <si>
    <t xml:space="preserve">POST/PUT/PATCH /booking: принимается бронь с датой выезда раньше даты заезда</t>
  </si>
  <si>
    <t xml:space="preserve">1. Отправить POST /booking
   Заголовки: Content-Type: application/json, Accept: application/json
   Тело: валидная бронь, но "bookingdates": {"checkin": "2031-03-15", "checkout": "2031-03-10"}</t>
  </si>
  <si>
    <t xml:space="preserve">400 Bad Request — checkout должен быть не раньше checkin; бронь не создаётся</t>
  </si>
  <si>
    <t xml:space="preserve">200 OK; бронь создана с checkout &lt; checkin</t>
  </si>
  <si>
    <t xml:space="preserve">TC-CREATE-16, TC-PUT-09, TC-PATCH-11</t>
  </si>
  <si>
    <t xml:space="preserve">PUT и PATCH так же сохраняют брони с перевёрнутыми датами.</t>
  </si>
  <si>
    <t xml:space="preserve">BUG-07</t>
  </si>
  <si>
    <t xml:space="preserve">POST/PUT/PATCH /booking: нечисловое значение totalprice принимается и сохраняется как null</t>
  </si>
  <si>
    <t xml:space="preserve">1. Отправить POST /booking
   Заголовки: Content-Type: application/json, Accept: application/json
   Тело: валидная бронь, но "totalprice": "abc"</t>
  </si>
  <si>
    <t xml:space="preserve">400 Bad Request (в документации тип Number); бронь не создаётся</t>
  </si>
  <si>
    <t xml:space="preserve">200 OK; бронь создана с "totalprice": null</t>
  </si>
  <si>
    <t xml:space="preserve">TC-CREATE-12, TC-PUT-10, TC-PATCH-10</t>
  </si>
  <si>
    <t xml:space="preserve">PUT и PATCH также затирают стоимость существующей брони значением null.</t>
  </si>
  <si>
    <t xml:space="preserve">BUG-08</t>
  </si>
  <si>
    <t xml:space="preserve">POST /booking: дробная часть totalprice отбрасывается (150.75 → 150)</t>
  </si>
  <si>
    <t xml:space="preserve">1. Отправить POST /booking
   Заголовки: Content-Type: application/json, Accept: application/json
   Тело: валидная бронь, но "totalprice": 150.75
2. Отправить GET /booking/{bookingid из ответа}</t>
  </si>
  <si>
    <t xml:space="preserve">200 OK; totalprice = 150.75 в ответе и в GET</t>
  </si>
  <si>
    <t xml:space="preserve">200 OK; totalprice = 150 — копейки/центы потеряны без ошибки</t>
  </si>
  <si>
    <t xml:space="preserve">TC-CREATE-05</t>
  </si>
  <si>
    <t xml:space="preserve">В документации тип поля — Number, ограничения на целые числа не описаны. Потеря денежных данных.</t>
  </si>
  <si>
    <t xml:space="preserve">BUG-09</t>
  </si>
  <si>
    <t xml:space="preserve">POST /booking: принимается отрицательная стоимость totalprice</t>
  </si>
  <si>
    <t xml:space="preserve">1. Отправить POST /booking
   Заголовки: Content-Type: application/json, Accept: application/json
   Тело: валидная бронь, но "totalprice": -100</t>
  </si>
  <si>
    <t xml:space="preserve">400 Bad Request; бронь не создаётся</t>
  </si>
  <si>
    <t xml:space="preserve">200 OK; бронь создана с totalprice = -100</t>
  </si>
  <si>
    <t xml:space="preserve">TC-CREATE-13</t>
  </si>
  <si>
    <t xml:space="preserve">PUT и PATCH также принимают отрицательную стоимость (проверено значениями -5 и -50).</t>
  </si>
  <si>
    <t xml:space="preserve">BUG-10</t>
  </si>
  <si>
    <t xml:space="preserve">POST/PATCH /booking: нет проверки типов — строки приводятся к boolean/number, PATCH сохраняет число в firstname</t>
  </si>
  <si>
    <t xml:space="preserve">POST /booking
PATCH /booking/:id</t>
  </si>
  <si>
    <t xml:space="preserve">1. Отправить POST /booking
   Заголовки: Content-Type: application/json, Accept: application/json
   Тело: валидная бронь, но "depositpaid": "yes"
2. Отправить PATCH /booking/{id} (Cookie: token={token}) с телом {"firstname": 123}
3. Отправить GET /booking/{id}</t>
  </si>
  <si>
    <t xml:space="preserve">1. 400 Bad Request — depositpaid должен быть boolean
2. 400 Bad Request — firstname должен быть строкой; бронь не изменилась</t>
  </si>
  <si>
    <t xml:space="preserve">1. 200 OK; depositpaid = true
2–3. 200 OK; сохранено "firstname": 123 (число)</t>
  </si>
  <si>
    <t xml:space="preserve">TC-CREATE-14, TC-PATCH-08</t>
  </si>
  <si>
    <t xml:space="preserve">"totalprice": "150" тоже молча приводится к 150. При этом POST с "firstname": 123 падает с 500 (BUG-03) — эндпоинты обрабатывают типы по-разному.</t>
  </si>
  <si>
    <t xml:space="preserve">BUG-11</t>
  </si>
  <si>
    <t xml:space="preserve">POST/PATCH /booking: пустые строки и null в firstname / lastname принимаются</t>
  </si>
  <si>
    <t xml:space="preserve">1. Отправить POST /booking
   Заголовки: Content-Type: application/json, Accept: application/json
   Тело: валидная бронь, но "firstname": "", "lastname": ""
2. Отправить PATCH /booking/{id} (Cookie: token={token}) с телом {"firstname": null}
3. Отправить GET /booking/{id}</t>
  </si>
  <si>
    <t xml:space="preserve">1. 400 Bad Request — имя и фамилия обязательны
2. 400 Bad Request; бронь не изменилась</t>
  </si>
  <si>
    <t xml:space="preserve">1. 200 OK; бронь создана с пустыми именем и фамилией
2–3. 200 OK; "firstname": null</t>
  </si>
  <si>
    <t xml:space="preserve">TC-CREATE-15, TC-PATCH-09</t>
  </si>
  <si>
    <t xml:space="preserve">Поля, обязательные по документации, фактически могут быть пустыми — бронь без имени гостя.</t>
  </si>
  <si>
    <t xml:space="preserve">BUG-12</t>
  </si>
  <si>
    <t xml:space="preserve">POST /auth: при неверных учётных данных возвращается 200 OK вместо 401 Unauthorized</t>
  </si>
  <si>
    <t xml:space="preserve">POST /auth</t>
  </si>
  <si>
    <t xml:space="preserve">1. Отправить POST /auth
   Заголовки: Content-Type: application/json
   Тело: {"username": "admin", "password": "wrong"}</t>
  </si>
  <si>
    <t xml:space="preserve">401 Unauthorized; токен не выдаётся</t>
  </si>
  <si>
    <t xml:space="preserve">200 OK; тело {"reason": "Bad credentials"}</t>
  </si>
  <si>
    <t xml:space="preserve">TC-AUTH-02, TC-AUTH-03</t>
  </si>
  <si>
    <t xml:space="preserve">То же для несуществующего пользователя. Клиенту приходится разбирать тело, чтобы понять, что вход не удался; код 200 противоречит семантике HTTP.</t>
  </si>
  <si>
    <t xml:space="preserve">BUG-13</t>
  </si>
  <si>
    <t xml:space="preserve">POST /auth: при отсутствии или пустых полях username / password возвращается 200 OK вместо 400</t>
  </si>
  <si>
    <t xml:space="preserve">1. Отправить POST /auth
   Заголовки: Content-Type: application/json
   Тело: {}</t>
  </si>
  <si>
    <t xml:space="preserve">400 Bad Request — обязательные поля не переданы</t>
  </si>
  <si>
    <t xml:space="preserve">TC-AUTH-04, TC-AUTH-05, TC-AUTH-06</t>
  </si>
  <si>
    <t xml:space="preserve">То же для {"username": "admin"} и {"username": "", "password": ""}.</t>
  </si>
  <si>
    <t xml:space="preserve">BUG-14</t>
  </si>
  <si>
    <t xml:space="preserve">GET /booking: фильтр checkin работает как строгое «больше», а не «больше или равно»</t>
  </si>
  <si>
    <t xml:space="preserve">GET /booking</t>
  </si>
  <si>
    <t xml:space="preserve">Создана бронь с уникальными именем и фамилией (например, firstname = QaUnique1), checkin = 2031-03-10, checkout = 2031-03-15</t>
  </si>
  <si>
    <t xml:space="preserve">1. Отправить GET /booking?firstname=QaUnique1&amp;checkin=2031-03-10
2. Отправить GET /booking?firstname=QaUnique1&amp;checkin=2031-03-09</t>
  </si>
  <si>
    <t xml:space="preserve">1. 200 OK; созданная бронь в результатах — по документации возвращаются брони с checkin ≥ заданной даты
2. 200 OK; бронь в результатах</t>
  </si>
  <si>
    <t xml:space="preserve">1. 200 OK; [] — бронь не найдена
2. 200 OK; бронь найдена</t>
  </si>
  <si>
    <t xml:space="preserve">TC-SEARCH-05, TC-SEARCH-11</t>
  </si>
  <si>
    <t xml:space="preserve">Документация: «Return bookings that have a checkin date greater than or equal to the set checkin date». Из-за этого не находятся брони при поиске по точным датам заезда и выезда.</t>
  </si>
  <si>
    <t xml:space="preserve">BUG-15</t>
  </si>
  <si>
    <t xml:space="preserve">GET /booking: фильтр checkout работает наоборот — возвращает брони с выездом не позже заданной даты</t>
  </si>
  <si>
    <t xml:space="preserve">1. Отправить GET /booking?firstname=QaUnique1&amp;checkout=2031-03-14
2. Отправить GET /booking?firstname=QaUnique1&amp;checkout=2031-03-16</t>
  </si>
  <si>
    <t xml:space="preserve">1. 200 OK; бронь найдена (2031-03-15 ≥ 2031-03-14)
2. 200 OK; брони нет (2031-03-15 &lt; 2031-03-16)</t>
  </si>
  <si>
    <t xml:space="preserve">TC-SEARCH-09, TC-SEARCH-10</t>
  </si>
  <si>
    <t xml:space="preserve">Документация: «Return bookings that have a checkout date greater than or equal to the set checkout date». Фактически фильтр работает как checkout ≤ заданной даты.</t>
  </si>
  <si>
    <t xml:space="preserve">BUG-16</t>
  </si>
  <si>
    <t xml:space="preserve">GET /booking: невалидная дата в фильтрах checkin / checkout приводит к 500 Internal Server Error</t>
  </si>
  <si>
    <t xml:space="preserve">1. Отправить GET /booking?checkin=not-a-date</t>
  </si>
  <si>
    <t xml:space="preserve">400 Bad Request — формат даты должен быть CCYY-MM-DD</t>
  </si>
  <si>
    <t xml:space="preserve">500 Internal Server Error</t>
  </si>
  <si>
    <t xml:space="preserve">TC-SEARCH-14, TC-SEARCH-15</t>
  </si>
  <si>
    <t xml:space="preserve">То же для несуществующей даты: GET /booking?checkout=2031-13-45.</t>
  </si>
  <si>
    <t xml:space="preserve">BUG-17</t>
  </si>
  <si>
    <t xml:space="preserve">PUT/PATCH/DELETE /booking/:id: для несуществующей брони возвращается 405 Method Not Allowed вместо 404</t>
  </si>
  <si>
    <t xml:space="preserve">PUT /booking/:id
PATCH /booking/:id
DELETE /booking/:id</t>
  </si>
  <si>
    <t xml:space="preserve">Получен токен: POST /auth с {"username": "admin", "password": "password123"}</t>
  </si>
  <si>
    <t xml:space="preserve">1. Отправить DELETE /booking/99999999
   Заголовки: Cookie: token={token}</t>
  </si>
  <si>
    <t xml:space="preserve">404 Not Found</t>
  </si>
  <si>
    <t xml:space="preserve">405 Method Not Allowed</t>
  </si>
  <si>
    <t xml:space="preserve">TC-PUT-08, TC-PATCH-07, TC-DEL-05, TC-DEL-06</t>
  </si>
  <si>
    <t xml:space="preserve">То же для PUT и PATCH, для нечислового id (abc) и для повторного удаления уже удалённой брони. 405 означает, что метод не поддерживается ресурсом, а GET для того же id корректно отвечает 404.</t>
  </si>
  <si>
    <t xml:space="preserve">BUG-18</t>
  </si>
  <si>
    <t xml:space="preserve">DELETE /booking/:id: успешное удаление возвращает 201 Created</t>
  </si>
  <si>
    <t xml:space="preserve">DELETE /booking/:id</t>
  </si>
  <si>
    <t xml:space="preserve">1. Отправить DELETE /booking/{id}
   Заголовки: Cookie: token={token}
2. Отправить GET /booking/{id}</t>
  </si>
  <si>
    <t xml:space="preserve">1. 200 OK или 204 No Content
2. 404 Not Found</t>
  </si>
  <si>
    <t xml:space="preserve">1. 201 Created, тело «Created»
2. 404 Not Found — бронь удалена</t>
  </si>
  <si>
    <t xml:space="preserve">TC-DEL-01, TC-DEL-02</t>
  </si>
  <si>
    <t xml:space="preserve">201 означает создание нового ресурса. В документации ответ описан в разделе «Success 200», но пример — 201; документацию тоже стоит исправить.</t>
  </si>
  <si>
    <t xml:space="preserve">BUG-19</t>
  </si>
  <si>
    <t xml:space="preserve">GET /ping: health check возвращает 201 Created вместо 200 OK</t>
  </si>
  <si>
    <t xml:space="preserve">GET /ping</t>
  </si>
  <si>
    <t xml:space="preserve">1. Отправить GET /ping</t>
  </si>
  <si>
    <t xml:space="preserve">200 OK</t>
  </si>
  <si>
    <t xml:space="preserve">201 Created, тело «Created»</t>
  </si>
  <si>
    <t xml:space="preserve">TC-PING-01</t>
  </si>
  <si>
    <t xml:space="preserve">Запрос ничего не создаёт. Мониторинги, которые ждут 200, будут считать сервис неработающим. В документации раздел называется «Success 200», а в примере 201.</t>
  </si>
  <si>
    <t xml:space="preserve">BUG-20</t>
  </si>
  <si>
    <t xml:space="preserve">Ответы в формате XML отдаются с Content-Type: text/html вместо application/xml</t>
  </si>
  <si>
    <t xml:space="preserve">POST /booking
GET /booking/:id
PUT /booking/:id
PATCH /booking/:id</t>
  </si>
  <si>
    <t xml:space="preserve">Создана бронь: POST /booking с телом {"firstname": "Ivan", "lastname": "Petrov", "totalprice": 150, "depositpaid": true, "bookingdates": {"checkin": "2031-03-10", "checkout": "2031-03-15"}, "additionalneeds": "Breakfast"}; её id сохранён</t>
  </si>
  <si>
    <t xml:space="preserve">1. Отправить GET /booking/{id}
   Заголовки: Accept: application/xml</t>
  </si>
  <si>
    <t xml:space="preserve">200 OK; Content-Type: application/xml; тело — XML</t>
  </si>
  <si>
    <t xml:space="preserve">200 OK; тело — корректный XML, но Content-Type: text/html; charset=utf-8</t>
  </si>
  <si>
    <t xml:space="preserve">TC-CREATE-06, TC-GET-03</t>
  </si>
  <si>
    <t xml:space="preserve">Так же для POST, PUT, PATCH с Accept: application/xml. Клиенты, ориентирующиеся на Content-Type, не распознают XML.</t>
  </si>
  <si>
    <t xml:space="preserve">BUG-21</t>
  </si>
  <si>
    <t xml:space="preserve">Формат ответа application/x-www-form-urlencoded не работает: 200 OK и текст ошибки «formurlencoded is not a function»</t>
  </si>
  <si>
    <t xml:space="preserve">1. Отправить GET /booking/{id}
   Заголовки: Accept: application/x-www-form-urlencoded</t>
  </si>
  <si>
    <t xml:space="preserve">200 OK; Content-Type: application/x-www-form-urlencoded; тело — данные брони в формате urlencoded (как в примере «URL Response» в документации)</t>
  </si>
  <si>
    <t xml:space="preserve">200 OK; Content-Type: text/html; тело «formurlencoded is not a function»</t>
  </si>
  <si>
    <t xml:space="preserve">TC-CREATE-07, TC-GET-04</t>
  </si>
  <si>
    <t xml:space="preserve">Так же для POST, PUT и PATCH; при этом изменения PUT/PATCH применяются, а клиент получает только текст ошибки. Наружу утекает внутренняя ошибка сервера, а код 200 скрывает сбой. Тело запроса в urlencoded разбирается корректно.</t>
  </si>
  <si>
    <t xml:space="preserve">BUG-22</t>
  </si>
  <si>
    <t xml:space="preserve">Неподдерживаемый формат в Accept возвращает 418 I'm a Teapot вместо 406 Not Acceptable</t>
  </si>
  <si>
    <t xml:space="preserve">POST /booking
GET /booking/:id</t>
  </si>
  <si>
    <t xml:space="preserve">1. Отправить GET /booking/{id}
   Заголовки: Accept: text/html</t>
  </si>
  <si>
    <t xml:space="preserve">406 Not Acceptable</t>
  </si>
  <si>
    <t xml:space="preserve">418 I'm a Teapot</t>
  </si>
  <si>
    <t xml:space="preserve">TC-CREATE-21, TC-GET-08</t>
  </si>
  <si>
    <t xml:space="preserve">418 — шуточный код из RFC 2324, в production API он неуместен.</t>
  </si>
  <si>
    <t xml:space="preserve">BUG-23</t>
  </si>
  <si>
    <t xml:space="preserve">POST /booking: неподдерживаемый Content-Type приводит к 500 Internal Server Error вместо 415</t>
  </si>
  <si>
    <t xml:space="preserve">1. Отправить POST /booking
   Заголовки: Content-Type: text/plain
   Тело: валидная бронь в JSON</t>
  </si>
  <si>
    <t xml:space="preserve">415 Unsupported Media Type; бронь не создаётся</t>
  </si>
  <si>
    <t xml:space="preserve">TC-CREATE-20</t>
  </si>
  <si>
    <t xml:space="preserve">BUG-24</t>
  </si>
  <si>
    <t xml:space="preserve">PUT /booking/:id: необязательное поле additionalneeds не удаляется, если его нет в теле запроса</t>
  </si>
  <si>
    <t xml:space="preserve">PUT /booking/:id</t>
  </si>
  <si>
    <t xml:space="preserve">1. Отправить PUT /booking/{id}
   Заголовки: Content-Type: application/json, Accept: application/json, Cookie: token={token}
   Тело: {"firstname": "Petr", "lastname": "Sidorov", "totalprice": 300, "depositpaid": false, "bookingdates": {"checkin": "2031-04-01", "checkout": "2031-04-10"}}
2. Отправить GET /booking/{id}</t>
  </si>
  <si>
    <t xml:space="preserve">1–2. 200 OK; additionalneeds отсутствует — PUT заменяет ресурс целиком</t>
  </si>
  <si>
    <t xml:space="preserve">1–2. 200 OK; "additionalneeds": "Breakfast" осталось от прежней версии брони</t>
  </si>
  <si>
    <t xml:space="preserve">TC-PUT-03</t>
  </si>
  <si>
    <t xml:space="preserve">PUT ведёт себя как частичное обновление; удалить пожелания гостя через PUT невозможно.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</si>
</sst>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8" customFormat="false" ht="15" hidden="false" customHeight="false" outlineLevel="0" collapsed="false">
      <c r="A8" s="4" t="s">
        <v>9</v>
      </c>
      <c r="B8" s="4" t="s">
        <v>10</v>
      </c>
      <c r="C8" s="4" t="s">
        <v>11</v>
      </c>
    </row>
    <row r="9" customFormat="false" ht="16.4" hidden="false" customHeight="false" outlineLevel="0" collapsed="false">
      <c r="A9" s="5" t="s">
        <v>12</v>
      </c>
      <c r="B9" s="6" t="n">
        <f aca="false">COUNTIF(Баги!$C$2:$C$25,"Critical")</f>
        <v>2</v>
      </c>
      <c r="C9" s="5" t="s">
        <v>13</v>
      </c>
    </row>
    <row r="10" customFormat="false" ht="16.4" hidden="false" customHeight="false" outlineLevel="0" collapsed="false">
      <c r="A10" s="5" t="s">
        <v>14</v>
      </c>
      <c r="B10" s="6" t="n">
        <f aca="false">COUNTIF(Баги!$C$2:$C$25,"Major")</f>
        <v>13</v>
      </c>
      <c r="C10" s="5" t="s">
        <v>15</v>
      </c>
    </row>
    <row r="11" customFormat="false" ht="16.4" hidden="false" customHeight="false" outlineLevel="0" collapsed="false">
      <c r="A11" s="5" t="s">
        <v>16</v>
      </c>
      <c r="B11" s="6" t="n">
        <f aca="false">COUNTIF(Баги!$C$2:$C$25,"Minor")</f>
        <v>9</v>
      </c>
      <c r="C11" s="5" t="s">
        <v>17</v>
      </c>
    </row>
    <row r="12" customFormat="false" ht="15" hidden="false" customHeight="false" outlineLevel="0" collapsed="false">
      <c r="A12" s="7" t="s">
        <v>18</v>
      </c>
      <c r="B12" s="8" t="n">
        <f aca="false">SUM(B9:B11)</f>
        <v>24</v>
      </c>
      <c r="C12" s="9"/>
    </row>
    <row r="15" customFormat="false" ht="15" hidden="false" customHeight="false" outlineLevel="0" collapsed="false">
      <c r="A15" s="4" t="s">
        <v>19</v>
      </c>
      <c r="B15" s="4" t="s">
        <v>10</v>
      </c>
      <c r="C15" s="4" t="s">
        <v>11</v>
      </c>
    </row>
    <row r="16" customFormat="false" ht="16.4" hidden="false" customHeight="false" outlineLevel="0" collapsed="false">
      <c r="A16" s="5" t="s">
        <v>20</v>
      </c>
      <c r="B16" s="6" t="n">
        <f aca="false">COUNTIF(Баги!$D$2:$D$25,"High")</f>
        <v>8</v>
      </c>
      <c r="C16" s="5" t="s">
        <v>21</v>
      </c>
    </row>
    <row r="17" customFormat="false" ht="16.4" hidden="false" customHeight="false" outlineLevel="0" collapsed="false">
      <c r="A17" s="5" t="s">
        <v>22</v>
      </c>
      <c r="B17" s="6" t="n">
        <f aca="false">COUNTIF(Баги!$D$2:$D$25,"Medium")</f>
        <v>9</v>
      </c>
      <c r="C17" s="5" t="s">
        <v>23</v>
      </c>
    </row>
    <row r="18" customFormat="false" ht="16.4" hidden="false" customHeight="false" outlineLevel="0" collapsed="false">
      <c r="A18" s="5" t="s">
        <v>24</v>
      </c>
      <c r="B18" s="6" t="n">
        <f aca="false">COUNTIF(Баги!$D$2:$D$25,"Low")</f>
        <v>7</v>
      </c>
      <c r="C18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50"/>
    <col collapsed="false" customWidth="true" hidden="false" outlineLevel="0" max="9" min="9" style="0" width="40"/>
    <col collapsed="false" customWidth="true" hidden="false" outlineLevel="0" max="10" min="10" style="0" width="44"/>
    <col collapsed="false" customWidth="true" hidden="false" outlineLevel="0" max="11" min="11" style="0" width="16"/>
    <col collapsed="false" customWidth="true" hidden="false" outlineLevel="0" max="12" min="12" style="0" width="42"/>
    <col collapsed="false" customWidth="true" hidden="false" outlineLevel="0" max="13" min="13" style="0" width="10"/>
  </cols>
  <sheetData>
    <row r="1" customFormat="false" ht="30" hidden="false" customHeight="true" outlineLevel="0" collapsed="false">
      <c r="A1" s="10" t="s">
        <v>26</v>
      </c>
      <c r="B1" s="10" t="s">
        <v>27</v>
      </c>
      <c r="C1" s="10" t="s">
        <v>9</v>
      </c>
      <c r="D1" s="10" t="s">
        <v>19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7</v>
      </c>
      <c r="L1" s="10" t="s">
        <v>34</v>
      </c>
      <c r="M1" s="10" t="s">
        <v>35</v>
      </c>
    </row>
    <row r="2" customFormat="false" ht="150.7" hidden="false" customHeight="false" outlineLevel="0" collapsed="false">
      <c r="A2" s="11" t="s">
        <v>36</v>
      </c>
      <c r="B2" s="12" t="s">
        <v>37</v>
      </c>
      <c r="C2" s="13" t="s">
        <v>12</v>
      </c>
      <c r="D2" s="13" t="s">
        <v>20</v>
      </c>
      <c r="E2" s="14" t="s">
        <v>38</v>
      </c>
      <c r="F2" s="14" t="s">
        <v>39</v>
      </c>
      <c r="G2" s="14" t="s">
        <v>40</v>
      </c>
      <c r="H2" s="14" t="s">
        <v>41</v>
      </c>
      <c r="I2" s="14" t="s">
        <v>42</v>
      </c>
      <c r="J2" s="14" t="s">
        <v>43</v>
      </c>
      <c r="K2" s="14" t="s">
        <v>44</v>
      </c>
      <c r="L2" s="14" t="s">
        <v>45</v>
      </c>
      <c r="M2" s="6" t="s">
        <v>46</v>
      </c>
    </row>
    <row r="3" customFormat="false" ht="150.7" hidden="false" customHeight="false" outlineLevel="0" collapsed="false">
      <c r="A3" s="11" t="s">
        <v>47</v>
      </c>
      <c r="B3" s="12" t="s">
        <v>48</v>
      </c>
      <c r="C3" s="13" t="s">
        <v>12</v>
      </c>
      <c r="D3" s="13" t="s">
        <v>20</v>
      </c>
      <c r="E3" s="14" t="s">
        <v>49</v>
      </c>
      <c r="F3" s="14" t="s">
        <v>39</v>
      </c>
      <c r="G3" s="14" t="s">
        <v>40</v>
      </c>
      <c r="H3" s="14" t="s">
        <v>50</v>
      </c>
      <c r="I3" s="14" t="s">
        <v>51</v>
      </c>
      <c r="J3" s="14" t="s">
        <v>52</v>
      </c>
      <c r="K3" s="14" t="s">
        <v>53</v>
      </c>
      <c r="L3" s="14" t="s">
        <v>54</v>
      </c>
      <c r="M3" s="6" t="s">
        <v>46</v>
      </c>
    </row>
    <row r="4" customFormat="false" ht="76.1" hidden="false" customHeight="false" outlineLevel="0" collapsed="false">
      <c r="A4" s="11" t="s">
        <v>55</v>
      </c>
      <c r="B4" s="12" t="s">
        <v>56</v>
      </c>
      <c r="C4" s="13" t="s">
        <v>14</v>
      </c>
      <c r="D4" s="13" t="s">
        <v>20</v>
      </c>
      <c r="E4" s="14" t="s">
        <v>57</v>
      </c>
      <c r="F4" s="14" t="s">
        <v>39</v>
      </c>
      <c r="G4" s="14" t="s">
        <v>58</v>
      </c>
      <c r="H4" s="14" t="s">
        <v>59</v>
      </c>
      <c r="I4" s="14" t="s">
        <v>60</v>
      </c>
      <c r="J4" s="14" t="s">
        <v>61</v>
      </c>
      <c r="K4" s="14" t="s">
        <v>62</v>
      </c>
      <c r="L4" s="14" t="s">
        <v>63</v>
      </c>
      <c r="M4" s="6" t="s">
        <v>46</v>
      </c>
    </row>
    <row r="5" customFormat="false" ht="91" hidden="false" customHeight="false" outlineLevel="0" collapsed="false">
      <c r="A5" s="11" t="s">
        <v>64</v>
      </c>
      <c r="B5" s="12" t="s">
        <v>65</v>
      </c>
      <c r="C5" s="13" t="s">
        <v>14</v>
      </c>
      <c r="D5" s="13" t="s">
        <v>20</v>
      </c>
      <c r="E5" s="14" t="s">
        <v>66</v>
      </c>
      <c r="F5" s="14" t="s">
        <v>39</v>
      </c>
      <c r="G5" s="14" t="s">
        <v>58</v>
      </c>
      <c r="H5" s="14" t="s">
        <v>67</v>
      </c>
      <c r="I5" s="14" t="s">
        <v>68</v>
      </c>
      <c r="J5" s="14" t="s">
        <v>69</v>
      </c>
      <c r="K5" s="14" t="s">
        <v>70</v>
      </c>
      <c r="L5" s="14" t="s">
        <v>71</v>
      </c>
      <c r="M5" s="6" t="s">
        <v>46</v>
      </c>
    </row>
    <row r="6" customFormat="false" ht="76.1" hidden="false" customHeight="false" outlineLevel="0" collapsed="false">
      <c r="A6" s="11" t="s">
        <v>72</v>
      </c>
      <c r="B6" s="12" t="s">
        <v>73</v>
      </c>
      <c r="C6" s="13" t="s">
        <v>14</v>
      </c>
      <c r="D6" s="13" t="s">
        <v>22</v>
      </c>
      <c r="E6" s="14" t="s">
        <v>57</v>
      </c>
      <c r="F6" s="14" t="s">
        <v>39</v>
      </c>
      <c r="G6" s="14" t="s">
        <v>58</v>
      </c>
      <c r="H6" s="14" t="s">
        <v>74</v>
      </c>
      <c r="I6" s="14" t="s">
        <v>75</v>
      </c>
      <c r="J6" s="14" t="s">
        <v>76</v>
      </c>
      <c r="K6" s="14" t="s">
        <v>77</v>
      </c>
      <c r="L6" s="14" t="s">
        <v>78</v>
      </c>
      <c r="M6" s="6" t="s">
        <v>46</v>
      </c>
    </row>
    <row r="7" customFormat="false" ht="76.1" hidden="false" customHeight="false" outlineLevel="0" collapsed="false">
      <c r="A7" s="11" t="s">
        <v>79</v>
      </c>
      <c r="B7" s="12" t="s">
        <v>80</v>
      </c>
      <c r="C7" s="13" t="s">
        <v>14</v>
      </c>
      <c r="D7" s="13" t="s">
        <v>20</v>
      </c>
      <c r="E7" s="14" t="s">
        <v>66</v>
      </c>
      <c r="F7" s="14" t="s">
        <v>39</v>
      </c>
      <c r="G7" s="14" t="s">
        <v>58</v>
      </c>
      <c r="H7" s="14" t="s">
        <v>81</v>
      </c>
      <c r="I7" s="14" t="s">
        <v>82</v>
      </c>
      <c r="J7" s="14" t="s">
        <v>83</v>
      </c>
      <c r="K7" s="14" t="s">
        <v>84</v>
      </c>
      <c r="L7" s="14" t="s">
        <v>85</v>
      </c>
      <c r="M7" s="6" t="s">
        <v>46</v>
      </c>
    </row>
    <row r="8" customFormat="false" ht="76.1" hidden="false" customHeight="false" outlineLevel="0" collapsed="false">
      <c r="A8" s="11" t="s">
        <v>86</v>
      </c>
      <c r="B8" s="12" t="s">
        <v>87</v>
      </c>
      <c r="C8" s="13" t="s">
        <v>14</v>
      </c>
      <c r="D8" s="13" t="s">
        <v>22</v>
      </c>
      <c r="E8" s="14" t="s">
        <v>66</v>
      </c>
      <c r="F8" s="14" t="s">
        <v>39</v>
      </c>
      <c r="G8" s="14" t="s">
        <v>58</v>
      </c>
      <c r="H8" s="14" t="s">
        <v>88</v>
      </c>
      <c r="I8" s="14" t="s">
        <v>89</v>
      </c>
      <c r="J8" s="14" t="s">
        <v>90</v>
      </c>
      <c r="K8" s="14" t="s">
        <v>91</v>
      </c>
      <c r="L8" s="14" t="s">
        <v>92</v>
      </c>
      <c r="M8" s="6" t="s">
        <v>46</v>
      </c>
    </row>
    <row r="9" customFormat="false" ht="76.1" hidden="false" customHeight="false" outlineLevel="0" collapsed="false">
      <c r="A9" s="11" t="s">
        <v>93</v>
      </c>
      <c r="B9" s="12" t="s">
        <v>94</v>
      </c>
      <c r="C9" s="13" t="s">
        <v>14</v>
      </c>
      <c r="D9" s="13" t="s">
        <v>20</v>
      </c>
      <c r="E9" s="14" t="s">
        <v>57</v>
      </c>
      <c r="F9" s="14" t="s">
        <v>39</v>
      </c>
      <c r="G9" s="14" t="s">
        <v>58</v>
      </c>
      <c r="H9" s="14" t="s">
        <v>95</v>
      </c>
      <c r="I9" s="14" t="s">
        <v>96</v>
      </c>
      <c r="J9" s="14" t="s">
        <v>97</v>
      </c>
      <c r="K9" s="14" t="s">
        <v>98</v>
      </c>
      <c r="L9" s="14" t="s">
        <v>99</v>
      </c>
      <c r="M9" s="6" t="s">
        <v>46</v>
      </c>
    </row>
    <row r="10" customFormat="false" ht="76.1" hidden="false" customHeight="false" outlineLevel="0" collapsed="false">
      <c r="A10" s="11" t="s">
        <v>100</v>
      </c>
      <c r="B10" s="12" t="s">
        <v>101</v>
      </c>
      <c r="C10" s="13" t="s">
        <v>14</v>
      </c>
      <c r="D10" s="13" t="s">
        <v>22</v>
      </c>
      <c r="E10" s="14" t="s">
        <v>66</v>
      </c>
      <c r="F10" s="14" t="s">
        <v>39</v>
      </c>
      <c r="G10" s="14" t="s">
        <v>58</v>
      </c>
      <c r="H10" s="14" t="s">
        <v>102</v>
      </c>
      <c r="I10" s="14" t="s">
        <v>103</v>
      </c>
      <c r="J10" s="14" t="s">
        <v>104</v>
      </c>
      <c r="K10" s="14" t="s">
        <v>105</v>
      </c>
      <c r="L10" s="14" t="s">
        <v>106</v>
      </c>
      <c r="M10" s="6" t="s">
        <v>46</v>
      </c>
    </row>
    <row r="11" customFormat="false" ht="150.7" hidden="false" customHeight="false" outlineLevel="0" collapsed="false">
      <c r="A11" s="11" t="s">
        <v>107</v>
      </c>
      <c r="B11" s="12" t="s">
        <v>108</v>
      </c>
      <c r="C11" s="13" t="s">
        <v>16</v>
      </c>
      <c r="D11" s="13" t="s">
        <v>22</v>
      </c>
      <c r="E11" s="14" t="s">
        <v>109</v>
      </c>
      <c r="F11" s="14" t="s">
        <v>39</v>
      </c>
      <c r="G11" s="14" t="s">
        <v>40</v>
      </c>
      <c r="H11" s="14" t="s">
        <v>110</v>
      </c>
      <c r="I11" s="14" t="s">
        <v>111</v>
      </c>
      <c r="J11" s="14" t="s">
        <v>112</v>
      </c>
      <c r="K11" s="14" t="s">
        <v>113</v>
      </c>
      <c r="L11" s="14" t="s">
        <v>114</v>
      </c>
      <c r="M11" s="6" t="s">
        <v>46</v>
      </c>
    </row>
    <row r="12" customFormat="false" ht="150.7" hidden="false" customHeight="false" outlineLevel="0" collapsed="false">
      <c r="A12" s="11" t="s">
        <v>115</v>
      </c>
      <c r="B12" s="12" t="s">
        <v>116</v>
      </c>
      <c r="C12" s="13" t="s">
        <v>14</v>
      </c>
      <c r="D12" s="13" t="s">
        <v>22</v>
      </c>
      <c r="E12" s="14" t="s">
        <v>109</v>
      </c>
      <c r="F12" s="14" t="s">
        <v>39</v>
      </c>
      <c r="G12" s="14" t="s">
        <v>40</v>
      </c>
      <c r="H12" s="14" t="s">
        <v>117</v>
      </c>
      <c r="I12" s="14" t="s">
        <v>118</v>
      </c>
      <c r="J12" s="14" t="s">
        <v>119</v>
      </c>
      <c r="K12" s="14" t="s">
        <v>120</v>
      </c>
      <c r="L12" s="14" t="s">
        <v>121</v>
      </c>
      <c r="M12" s="6" t="s">
        <v>46</v>
      </c>
    </row>
    <row r="13" customFormat="false" ht="76.1" hidden="false" customHeight="false" outlineLevel="0" collapsed="false">
      <c r="A13" s="11" t="s">
        <v>122</v>
      </c>
      <c r="B13" s="12" t="s">
        <v>123</v>
      </c>
      <c r="C13" s="13" t="s">
        <v>14</v>
      </c>
      <c r="D13" s="13" t="s">
        <v>20</v>
      </c>
      <c r="E13" s="14" t="s">
        <v>124</v>
      </c>
      <c r="F13" s="14" t="s">
        <v>39</v>
      </c>
      <c r="G13" s="14" t="s">
        <v>58</v>
      </c>
      <c r="H13" s="14" t="s">
        <v>125</v>
      </c>
      <c r="I13" s="14" t="s">
        <v>126</v>
      </c>
      <c r="J13" s="14" t="s">
        <v>127</v>
      </c>
      <c r="K13" s="14" t="s">
        <v>128</v>
      </c>
      <c r="L13" s="14" t="s">
        <v>129</v>
      </c>
      <c r="M13" s="6" t="s">
        <v>46</v>
      </c>
    </row>
    <row r="14" customFormat="false" ht="76.1" hidden="false" customHeight="false" outlineLevel="0" collapsed="false">
      <c r="A14" s="11" t="s">
        <v>130</v>
      </c>
      <c r="B14" s="12" t="s">
        <v>131</v>
      </c>
      <c r="C14" s="13" t="s">
        <v>16</v>
      </c>
      <c r="D14" s="13" t="s">
        <v>24</v>
      </c>
      <c r="E14" s="14" t="s">
        <v>124</v>
      </c>
      <c r="F14" s="14" t="s">
        <v>39</v>
      </c>
      <c r="G14" s="14" t="s">
        <v>58</v>
      </c>
      <c r="H14" s="14" t="s">
        <v>132</v>
      </c>
      <c r="I14" s="14" t="s">
        <v>133</v>
      </c>
      <c r="J14" s="14" t="s">
        <v>127</v>
      </c>
      <c r="K14" s="14" t="s">
        <v>134</v>
      </c>
      <c r="L14" s="14" t="s">
        <v>135</v>
      </c>
      <c r="M14" s="6" t="s">
        <v>46</v>
      </c>
    </row>
    <row r="15" customFormat="false" ht="76.1" hidden="false" customHeight="false" outlineLevel="0" collapsed="false">
      <c r="A15" s="11" t="s">
        <v>136</v>
      </c>
      <c r="B15" s="12" t="s">
        <v>137</v>
      </c>
      <c r="C15" s="13" t="s">
        <v>14</v>
      </c>
      <c r="D15" s="13" t="s">
        <v>22</v>
      </c>
      <c r="E15" s="14" t="s">
        <v>138</v>
      </c>
      <c r="F15" s="14" t="s">
        <v>39</v>
      </c>
      <c r="G15" s="14" t="s">
        <v>139</v>
      </c>
      <c r="H15" s="14" t="s">
        <v>140</v>
      </c>
      <c r="I15" s="14" t="s">
        <v>141</v>
      </c>
      <c r="J15" s="14" t="s">
        <v>142</v>
      </c>
      <c r="K15" s="14" t="s">
        <v>143</v>
      </c>
      <c r="L15" s="14" t="s">
        <v>144</v>
      </c>
      <c r="M15" s="6" t="s">
        <v>46</v>
      </c>
    </row>
    <row r="16" customFormat="false" ht="76.1" hidden="false" customHeight="false" outlineLevel="0" collapsed="false">
      <c r="A16" s="11" t="s">
        <v>145</v>
      </c>
      <c r="B16" s="12" t="s">
        <v>146</v>
      </c>
      <c r="C16" s="13" t="s">
        <v>14</v>
      </c>
      <c r="D16" s="13" t="s">
        <v>20</v>
      </c>
      <c r="E16" s="14" t="s">
        <v>138</v>
      </c>
      <c r="F16" s="14" t="s">
        <v>39</v>
      </c>
      <c r="G16" s="14" t="s">
        <v>139</v>
      </c>
      <c r="H16" s="14" t="s">
        <v>147</v>
      </c>
      <c r="I16" s="14" t="s">
        <v>148</v>
      </c>
      <c r="J16" s="14" t="s">
        <v>142</v>
      </c>
      <c r="K16" s="14" t="s">
        <v>149</v>
      </c>
      <c r="L16" s="14" t="s">
        <v>150</v>
      </c>
      <c r="M16" s="6" t="s">
        <v>46</v>
      </c>
    </row>
    <row r="17" customFormat="false" ht="76.1" hidden="false" customHeight="false" outlineLevel="0" collapsed="false">
      <c r="A17" s="11" t="s">
        <v>151</v>
      </c>
      <c r="B17" s="12" t="s">
        <v>152</v>
      </c>
      <c r="C17" s="13" t="s">
        <v>14</v>
      </c>
      <c r="D17" s="13" t="s">
        <v>22</v>
      </c>
      <c r="E17" s="14" t="s">
        <v>138</v>
      </c>
      <c r="F17" s="14" t="s">
        <v>39</v>
      </c>
      <c r="G17" s="14" t="s">
        <v>58</v>
      </c>
      <c r="H17" s="14" t="s">
        <v>153</v>
      </c>
      <c r="I17" s="14" t="s">
        <v>154</v>
      </c>
      <c r="J17" s="14" t="s">
        <v>155</v>
      </c>
      <c r="K17" s="14" t="s">
        <v>156</v>
      </c>
      <c r="L17" s="14" t="s">
        <v>157</v>
      </c>
      <c r="M17" s="6" t="s">
        <v>46</v>
      </c>
    </row>
    <row r="18" customFormat="false" ht="76.1" hidden="false" customHeight="false" outlineLevel="0" collapsed="false">
      <c r="A18" s="11" t="s">
        <v>158</v>
      </c>
      <c r="B18" s="12" t="s">
        <v>159</v>
      </c>
      <c r="C18" s="13" t="s">
        <v>16</v>
      </c>
      <c r="D18" s="13" t="s">
        <v>22</v>
      </c>
      <c r="E18" s="14" t="s">
        <v>160</v>
      </c>
      <c r="F18" s="14" t="s">
        <v>39</v>
      </c>
      <c r="G18" s="14" t="s">
        <v>161</v>
      </c>
      <c r="H18" s="14" t="s">
        <v>162</v>
      </c>
      <c r="I18" s="14" t="s">
        <v>163</v>
      </c>
      <c r="J18" s="14" t="s">
        <v>164</v>
      </c>
      <c r="K18" s="14" t="s">
        <v>165</v>
      </c>
      <c r="L18" s="14" t="s">
        <v>166</v>
      </c>
      <c r="M18" s="6" t="s">
        <v>46</v>
      </c>
    </row>
    <row r="19" customFormat="false" ht="150.7" hidden="false" customHeight="false" outlineLevel="0" collapsed="false">
      <c r="A19" s="11" t="s">
        <v>167</v>
      </c>
      <c r="B19" s="12" t="s">
        <v>168</v>
      </c>
      <c r="C19" s="13" t="s">
        <v>16</v>
      </c>
      <c r="D19" s="13" t="s">
        <v>24</v>
      </c>
      <c r="E19" s="14" t="s">
        <v>169</v>
      </c>
      <c r="F19" s="14" t="s">
        <v>39</v>
      </c>
      <c r="G19" s="14" t="s">
        <v>40</v>
      </c>
      <c r="H19" s="14" t="s">
        <v>170</v>
      </c>
      <c r="I19" s="14" t="s">
        <v>171</v>
      </c>
      <c r="J19" s="14" t="s">
        <v>172</v>
      </c>
      <c r="K19" s="14" t="s">
        <v>173</v>
      </c>
      <c r="L19" s="14" t="s">
        <v>174</v>
      </c>
      <c r="M19" s="6" t="s">
        <v>46</v>
      </c>
    </row>
    <row r="20" customFormat="false" ht="76.1" hidden="false" customHeight="false" outlineLevel="0" collapsed="false">
      <c r="A20" s="11" t="s">
        <v>175</v>
      </c>
      <c r="B20" s="12" t="s">
        <v>176</v>
      </c>
      <c r="C20" s="13" t="s">
        <v>16</v>
      </c>
      <c r="D20" s="13" t="s">
        <v>24</v>
      </c>
      <c r="E20" s="14" t="s">
        <v>177</v>
      </c>
      <c r="F20" s="14" t="s">
        <v>39</v>
      </c>
      <c r="G20" s="14" t="s">
        <v>58</v>
      </c>
      <c r="H20" s="14" t="s">
        <v>178</v>
      </c>
      <c r="I20" s="14" t="s">
        <v>179</v>
      </c>
      <c r="J20" s="14" t="s">
        <v>180</v>
      </c>
      <c r="K20" s="14" t="s">
        <v>181</v>
      </c>
      <c r="L20" s="14" t="s">
        <v>182</v>
      </c>
      <c r="M20" s="6" t="s">
        <v>46</v>
      </c>
    </row>
    <row r="21" customFormat="false" ht="105.95" hidden="false" customHeight="false" outlineLevel="0" collapsed="false">
      <c r="A21" s="11" t="s">
        <v>183</v>
      </c>
      <c r="B21" s="12" t="s">
        <v>184</v>
      </c>
      <c r="C21" s="13" t="s">
        <v>16</v>
      </c>
      <c r="D21" s="13" t="s">
        <v>24</v>
      </c>
      <c r="E21" s="14" t="s">
        <v>185</v>
      </c>
      <c r="F21" s="14" t="s">
        <v>39</v>
      </c>
      <c r="G21" s="14" t="s">
        <v>186</v>
      </c>
      <c r="H21" s="14" t="s">
        <v>187</v>
      </c>
      <c r="I21" s="14" t="s">
        <v>188</v>
      </c>
      <c r="J21" s="14" t="s">
        <v>189</v>
      </c>
      <c r="K21" s="14" t="s">
        <v>190</v>
      </c>
      <c r="L21" s="14" t="s">
        <v>191</v>
      </c>
      <c r="M21" s="6" t="s">
        <v>46</v>
      </c>
    </row>
    <row r="22" customFormat="false" ht="105.95" hidden="false" customHeight="false" outlineLevel="0" collapsed="false">
      <c r="A22" s="11" t="s">
        <v>192</v>
      </c>
      <c r="B22" s="12" t="s">
        <v>193</v>
      </c>
      <c r="C22" s="13" t="s">
        <v>14</v>
      </c>
      <c r="D22" s="13" t="s">
        <v>22</v>
      </c>
      <c r="E22" s="14" t="s">
        <v>185</v>
      </c>
      <c r="F22" s="14" t="s">
        <v>39</v>
      </c>
      <c r="G22" s="14" t="s">
        <v>186</v>
      </c>
      <c r="H22" s="14" t="s">
        <v>194</v>
      </c>
      <c r="I22" s="14" t="s">
        <v>195</v>
      </c>
      <c r="J22" s="14" t="s">
        <v>196</v>
      </c>
      <c r="K22" s="14" t="s">
        <v>197</v>
      </c>
      <c r="L22" s="14" t="s">
        <v>198</v>
      </c>
      <c r="M22" s="6" t="s">
        <v>46</v>
      </c>
    </row>
    <row r="23" customFormat="false" ht="105.95" hidden="false" customHeight="false" outlineLevel="0" collapsed="false">
      <c r="A23" s="11" t="s">
        <v>199</v>
      </c>
      <c r="B23" s="12" t="s">
        <v>200</v>
      </c>
      <c r="C23" s="13" t="s">
        <v>16</v>
      </c>
      <c r="D23" s="13" t="s">
        <v>24</v>
      </c>
      <c r="E23" s="14" t="s">
        <v>201</v>
      </c>
      <c r="F23" s="14" t="s">
        <v>39</v>
      </c>
      <c r="G23" s="14" t="s">
        <v>186</v>
      </c>
      <c r="H23" s="14" t="s">
        <v>202</v>
      </c>
      <c r="I23" s="14" t="s">
        <v>203</v>
      </c>
      <c r="J23" s="14" t="s">
        <v>204</v>
      </c>
      <c r="K23" s="14" t="s">
        <v>205</v>
      </c>
      <c r="L23" s="14" t="s">
        <v>206</v>
      </c>
      <c r="M23" s="6" t="s">
        <v>46</v>
      </c>
    </row>
    <row r="24" customFormat="false" ht="76.1" hidden="false" customHeight="false" outlineLevel="0" collapsed="false">
      <c r="A24" s="11" t="s">
        <v>207</v>
      </c>
      <c r="B24" s="12" t="s">
        <v>208</v>
      </c>
      <c r="C24" s="13" t="s">
        <v>16</v>
      </c>
      <c r="D24" s="13" t="s">
        <v>24</v>
      </c>
      <c r="E24" s="14" t="s">
        <v>57</v>
      </c>
      <c r="F24" s="14" t="s">
        <v>39</v>
      </c>
      <c r="G24" s="14" t="s">
        <v>58</v>
      </c>
      <c r="H24" s="14" t="s">
        <v>209</v>
      </c>
      <c r="I24" s="14" t="s">
        <v>210</v>
      </c>
      <c r="J24" s="14" t="s">
        <v>155</v>
      </c>
      <c r="K24" s="14" t="s">
        <v>211</v>
      </c>
      <c r="L24" s="14" t="s">
        <v>58</v>
      </c>
      <c r="M24" s="6" t="s">
        <v>46</v>
      </c>
    </row>
    <row r="25" customFormat="false" ht="150.7" hidden="false" customHeight="false" outlineLevel="0" collapsed="false">
      <c r="A25" s="11" t="s">
        <v>212</v>
      </c>
      <c r="B25" s="12" t="s">
        <v>213</v>
      </c>
      <c r="C25" s="13" t="s">
        <v>16</v>
      </c>
      <c r="D25" s="13" t="s">
        <v>24</v>
      </c>
      <c r="E25" s="14" t="s">
        <v>214</v>
      </c>
      <c r="F25" s="14" t="s">
        <v>39</v>
      </c>
      <c r="G25" s="14" t="s">
        <v>40</v>
      </c>
      <c r="H25" s="14" t="s">
        <v>215</v>
      </c>
      <c r="I25" s="14" t="s">
        <v>216</v>
      </c>
      <c r="J25" s="14" t="s">
        <v>217</v>
      </c>
      <c r="K25" s="14" t="s">
        <v>218</v>
      </c>
      <c r="L25" s="14" t="s">
        <v>219</v>
      </c>
      <c r="M25" s="6" t="s">
        <v>46</v>
      </c>
    </row>
  </sheetData>
  <autoFilter ref="A1:M25"/>
  <conditionalFormatting sqref="C2:C25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"Major"</formula>
    </cfRule>
    <cfRule type="cellIs" priority="4" operator="equal" aboveAverage="0" equalAverage="0" bottom="0" percent="0" rank="0" text="" dxfId="11">
      <formula>"Minor"</formula>
    </cfRule>
    <cfRule type="cellIs" priority="5" operator="equal" aboveAverage="0" equalAverage="0" bottom="0" percent="0" rank="0" text="" dxfId="12">
      <formula>"Trivial"</formula>
    </cfRule>
  </conditionalFormatting>
  <conditionalFormatting sqref="D2:D25">
    <cfRule type="cellIs" priority="6" operator="equal" aboveAverage="0" equalAverage="0" bottom="0" percent="0" rank="0" text="" dxfId="9">
      <formula>"High"</formula>
    </cfRule>
    <cfRule type="cellIs" priority="7" operator="equal" aboveAverage="0" equalAverage="0" bottom="0" percent="0" rank="0" text="" dxfId="10">
      <formula>"Medium"</formula>
    </cfRule>
    <cfRule type="cellIs" priority="8" operator="equal" aboveAverage="0" equalAverage="0" bottom="0" percent="0" rank="0" text="" dxfId="11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2026-10-04T18:05:11Z</dcterms:created>
  <dc:creator>openpyxl</dc:creator>
  <dc:description/>
  <dc:language>ru-RU</dc:language>
  <cp:lastModifiedBy/>
  <dcterms:modified xsi:type="dcterms:W3CDTF">2026-10-04T21:28:29Z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